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iyanang\PycharmProjects\WelcomeScreen\"/>
    </mc:Choice>
  </mc:AlternateContent>
  <xr:revisionPtr revIDLastSave="0" documentId="13_ncr:1_{95F17907-244A-461C-85AE-917B9969306D}" xr6:coauthVersionLast="47" xr6:coauthVersionMax="47" xr10:uidLastSave="{00000000-0000-0000-0000-000000000000}"/>
  <bookViews>
    <workbookView xWindow="-110" yWindow="-110" windowWidth="38620" windowHeight="21100" xr2:uid="{0A6846CE-7319-4A61-A9A3-B547A424D7C1}"/>
  </bookViews>
  <sheets>
    <sheet name="1G Ohm" sheetId="11" r:id="rId1"/>
  </sheets>
  <externalReferences>
    <externalReference r:id="rId2"/>
  </externalReferences>
  <definedNames>
    <definedName name="df_PN010048" localSheetId="0">'1G Ohm'!$M$3</definedName>
    <definedName name="df_PN010050">'1G Ohm'!$M$10</definedName>
    <definedName name="Known_xs_PN010048">OFFSET('1G Ohm'!$C$3,,,COUNTA('1G Ohm'!$C:$C)-3)</definedName>
    <definedName name="Known_xs_PN010050" localSheetId="0">OFFSET('1G Ohm'!$Q$3,,,COUNTA('1G Ohm'!$Q:$Q)-3)</definedName>
    <definedName name="Known_ys_PN010048">OFFSET('1G Ohm'!$F$3,,,COUNTA('1G Ohm'!$F:$F)-2)</definedName>
    <definedName name="Known_ys_PN010050">OFFSET('1G Ohm'!$T$3,,,COUNTA('1G Ohm'!$T:$T)-2)</definedName>
    <definedName name="n_PN010048">'1G Ohm'!$M$2</definedName>
    <definedName name="n_PN010050">'1G Ohm'!$M$9</definedName>
    <definedName name="PI_L_PN010001">OFFSET('[1]1 Ohm'!$I$3,,,COUNTA('[1]1 Ohm'!$I:$I)-1)</definedName>
    <definedName name="PI_L_PN010022">OFFSET('[1]1 Ohm'!$W$3,,,COUNTA('[1]1 Ohm'!$W:$W)-1)</definedName>
    <definedName name="PI_L_PN010034">OFFSET(#REF!,,,COUNTA(#REF!)-1)</definedName>
    <definedName name="PI_L_PN010069">OFFSET(#REF!,,,COUNTA(#REF!)-1)</definedName>
    <definedName name="PI_U_PN010001">OFFSET('[1]1 Ohm'!$J$3,,,COUNTA('[1]1 Ohm'!$J:$J)-1)</definedName>
    <definedName name="PI_U_PN010022">OFFSET('[1]1 Ohm'!$X$3,,,COUNTA('[1]1 Ohm'!$X:$X)-1)</definedName>
    <definedName name="PI_U_PN010034">OFFSET(#REF!,,,COUNTA(#REF!)-1)</definedName>
    <definedName name="PI_U_PN010069">OFFSET(#REF!,,,COUNTA(#REF!)-1)</definedName>
    <definedName name="Predicted_PN010001">OFFSET('[1]1 Ohm'!$H$3,,,COUNTA('[1]1 Ohm'!$H:$H)-2)</definedName>
    <definedName name="Predicted_PN010022">OFFSET('[1]1 Ohm'!$V$3,,,COUNTA('[1]1 Ohm'!$V:$V)-2)</definedName>
    <definedName name="Predicted_PN010034">OFFSET(#REF!,,,COUNTA(#REF!)-2)</definedName>
    <definedName name="Predicted_PN010069">OFFSET(#REF!,,,COUNTA(#REF!)-2)</definedName>
    <definedName name="SSx_PN010048" localSheetId="0">'1G Ohm'!$M$6</definedName>
    <definedName name="SSx_PN010050">'1G Ohm'!$M$13</definedName>
    <definedName name="Syx_PN010048" localSheetId="0">'1G Ohm'!$M$5</definedName>
    <definedName name="Syx_PN010050">'1G Ohm'!$M$12</definedName>
    <definedName name="XBar_PN010050" localSheetId="0">'1G Ohm'!$M$4</definedName>
    <definedName name="XBar_PN010050">'1G Ohm'!$M$11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1" l="1"/>
  <c r="S16" i="11" s="1"/>
  <c r="Q16" i="11"/>
  <c r="V16" i="11" s="1"/>
  <c r="P16" i="11"/>
  <c r="D20" i="11"/>
  <c r="E20" i="11" s="1"/>
  <c r="D19" i="11"/>
  <c r="D18" i="11"/>
  <c r="D17" i="11"/>
  <c r="E18" i="11" s="1"/>
  <c r="D16" i="11"/>
  <c r="D15" i="11"/>
  <c r="D14" i="11"/>
  <c r="D13" i="11"/>
  <c r="D12" i="11"/>
  <c r="D11" i="11"/>
  <c r="D10" i="11"/>
  <c r="D9" i="11"/>
  <c r="D8" i="11"/>
  <c r="D7" i="11"/>
  <c r="D6" i="11"/>
  <c r="G20" i="11"/>
  <c r="B20" i="11"/>
  <c r="C20" i="11" s="1"/>
  <c r="H20" i="11" s="1"/>
  <c r="R15" i="11"/>
  <c r="P15" i="11"/>
  <c r="R14" i="11"/>
  <c r="S14" i="11" s="1"/>
  <c r="P14" i="11"/>
  <c r="Q14" i="11" s="1"/>
  <c r="G19" i="11"/>
  <c r="E19" i="11"/>
  <c r="B19" i="11"/>
  <c r="C19" i="11" s="1"/>
  <c r="G18" i="11"/>
  <c r="B18" i="11"/>
  <c r="C18" i="11" s="1"/>
  <c r="R13" i="11"/>
  <c r="S13" i="11" s="1"/>
  <c r="Q13" i="11"/>
  <c r="P13" i="11"/>
  <c r="G17" i="11"/>
  <c r="E17" i="11"/>
  <c r="B17" i="11"/>
  <c r="C17" i="11" s="1"/>
  <c r="M9" i="11"/>
  <c r="M10" i="11" s="1" a="1"/>
  <c r="M10" i="11" s="1"/>
  <c r="M2" i="11"/>
  <c r="M3" i="11" s="1" a="1"/>
  <c r="M3" i="11" s="1"/>
  <c r="H19" i="11" l="1"/>
  <c r="S15" i="11"/>
  <c r="Q15" i="11"/>
  <c r="V15" i="11" s="1"/>
  <c r="V3" i="11"/>
  <c r="V14" i="11"/>
  <c r="M13" i="11"/>
  <c r="V4" i="11"/>
  <c r="V8" i="11"/>
  <c r="M12" i="11"/>
  <c r="V5" i="11"/>
  <c r="V7" i="11"/>
  <c r="V6" i="11"/>
  <c r="V11" i="11"/>
  <c r="H18" i="11"/>
  <c r="M11" i="11"/>
  <c r="V9" i="11"/>
  <c r="V12" i="11"/>
  <c r="V10" i="11"/>
  <c r="H11" i="11"/>
  <c r="M6" i="11"/>
  <c r="M5" i="11"/>
  <c r="H12" i="11"/>
  <c r="H17" i="11"/>
  <c r="H13" i="11"/>
  <c r="H14" i="11"/>
  <c r="H15" i="11"/>
  <c r="H4" i="11"/>
  <c r="H16" i="11"/>
  <c r="H6" i="11"/>
  <c r="H3" i="11"/>
  <c r="H5" i="11"/>
  <c r="H7" i="11"/>
  <c r="H8" i="11"/>
  <c r="M4" i="11"/>
  <c r="H9" i="11"/>
  <c r="H10" i="11"/>
  <c r="X16" i="11" l="1" a="1"/>
  <c r="X16" i="11" s="1"/>
  <c r="W16" i="11" a="1"/>
  <c r="W16" i="11" s="1"/>
  <c r="J20" i="11"/>
  <c r="I20" i="11"/>
  <c r="V13" i="11"/>
  <c r="W13" i="11" s="1" a="1"/>
  <c r="W13" i="11" s="1"/>
  <c r="X15" i="11" a="1"/>
  <c r="X15" i="11" s="1"/>
  <c r="X7" i="11" a="1"/>
  <c r="X7" i="11" s="1"/>
  <c r="W14" i="11" a="1"/>
  <c r="W14" i="11" s="1"/>
  <c r="X14" i="11" a="1"/>
  <c r="X14" i="11" s="1"/>
  <c r="W15" i="11" a="1"/>
  <c r="W15" i="11" s="1"/>
  <c r="J19" i="11"/>
  <c r="I19" i="11"/>
  <c r="J18" i="11"/>
  <c r="I18" i="11"/>
  <c r="J6" i="11"/>
  <c r="I16" i="11"/>
  <c r="I5" i="11"/>
  <c r="I8" i="11"/>
  <c r="J7" i="11"/>
  <c r="J3" i="11"/>
  <c r="I11" i="11"/>
  <c r="W4" i="11" a="1"/>
  <c r="W4" i="11" s="1"/>
  <c r="X6" i="11" a="1"/>
  <c r="X6" i="11" s="1"/>
  <c r="J15" i="11"/>
  <c r="W5" i="11" a="1"/>
  <c r="W5" i="11" s="1"/>
  <c r="W7" i="11" a="1"/>
  <c r="W7" i="11" s="1"/>
  <c r="W10" i="11" a="1"/>
  <c r="W10" i="11" s="1"/>
  <c r="I10" i="11"/>
  <c r="I12" i="11"/>
  <c r="X5" i="11" a="1"/>
  <c r="X5" i="11" s="1"/>
  <c r="W3" i="11" a="1"/>
  <c r="W3" i="11" s="1"/>
  <c r="I4" i="11"/>
  <c r="W6" i="11" a="1"/>
  <c r="W6" i="11" s="1"/>
  <c r="W9" i="11" a="1"/>
  <c r="W9" i="11" s="1"/>
  <c r="X11" i="11" a="1"/>
  <c r="X11" i="11" s="1"/>
  <c r="W11" i="11" a="1"/>
  <c r="W11" i="11" s="1"/>
  <c r="X12" i="11" a="1"/>
  <c r="X12" i="11" s="1"/>
  <c r="X4" i="11" a="1"/>
  <c r="X4" i="11" s="1"/>
  <c r="X9" i="11" a="1"/>
  <c r="X9" i="11" s="1"/>
  <c r="J11" i="11"/>
  <c r="I6" i="11"/>
  <c r="W8" i="11" a="1"/>
  <c r="W8" i="11" s="1"/>
  <c r="X3" i="11" a="1"/>
  <c r="X3" i="11" s="1"/>
  <c r="W12" i="11" a="1"/>
  <c r="W12" i="11" s="1"/>
  <c r="X10" i="11" a="1"/>
  <c r="X10" i="11" s="1"/>
  <c r="I3" i="11"/>
  <c r="J4" i="11"/>
  <c r="X8" i="11" a="1"/>
  <c r="X8" i="11" s="1"/>
  <c r="I14" i="11"/>
  <c r="J13" i="11"/>
  <c r="I9" i="11"/>
  <c r="J14" i="11"/>
  <c r="J8" i="11"/>
  <c r="I7" i="11"/>
  <c r="J5" i="11"/>
  <c r="I15" i="11"/>
  <c r="J9" i="11"/>
  <c r="J12" i="11"/>
  <c r="J16" i="11"/>
  <c r="I13" i="11"/>
  <c r="J10" i="11"/>
  <c r="J17" i="11"/>
  <c r="I17" i="11"/>
  <c r="B16" i="11"/>
  <c r="G16" i="11"/>
  <c r="P12" i="11"/>
  <c r="P11" i="11"/>
  <c r="R12" i="11"/>
  <c r="R11" i="11"/>
  <c r="X13" i="11" l="1" a="1"/>
  <c r="X13" i="11" s="1"/>
  <c r="S12" i="11"/>
  <c r="G15" i="11"/>
  <c r="E16" i="11"/>
  <c r="B15" i="11"/>
  <c r="G14" i="11"/>
  <c r="B14" i="11"/>
  <c r="G13" i="11"/>
  <c r="B13" i="11"/>
  <c r="G12" i="11"/>
  <c r="E12" i="11"/>
  <c r="B12" i="11"/>
  <c r="G11" i="11"/>
  <c r="B11" i="11"/>
  <c r="R10" i="11"/>
  <c r="S11" i="11" s="1"/>
  <c r="P10" i="11"/>
  <c r="G10" i="11"/>
  <c r="B10" i="11"/>
  <c r="R9" i="11"/>
  <c r="S9" i="11" s="1"/>
  <c r="P9" i="11"/>
  <c r="G9" i="11"/>
  <c r="B9" i="11"/>
  <c r="R8" i="11"/>
  <c r="P8" i="11"/>
  <c r="G8" i="11"/>
  <c r="B8" i="11"/>
  <c r="R7" i="11"/>
  <c r="P7" i="11"/>
  <c r="B7" i="11"/>
  <c r="R6" i="11"/>
  <c r="S6" i="11" s="1"/>
  <c r="P6" i="11"/>
  <c r="B6" i="11"/>
  <c r="R5" i="11"/>
  <c r="P5" i="11"/>
  <c r="D5" i="11"/>
  <c r="B5" i="11"/>
  <c r="R4" i="11"/>
  <c r="P4" i="11"/>
  <c r="G4" i="11"/>
  <c r="D4" i="11"/>
  <c r="E4" i="11" s="1"/>
  <c r="B4" i="11"/>
  <c r="R3" i="11"/>
  <c r="G3" i="11"/>
  <c r="D3" i="11"/>
  <c r="E7" i="11" l="1"/>
  <c r="E9" i="11"/>
  <c r="Q11" i="11"/>
  <c r="S4" i="11"/>
  <c r="E5" i="11"/>
  <c r="S5" i="11"/>
  <c r="E11" i="11"/>
  <c r="C14" i="11"/>
  <c r="C13" i="11"/>
  <c r="S7" i="11"/>
  <c r="C10" i="11"/>
  <c r="E13" i="11"/>
  <c r="E10" i="11"/>
  <c r="E8" i="11"/>
  <c r="C9" i="11"/>
  <c r="E14" i="11"/>
  <c r="E6" i="11"/>
  <c r="S8" i="11"/>
  <c r="Q4" i="11"/>
  <c r="C6" i="11"/>
  <c r="Q7" i="11"/>
  <c r="C12" i="11"/>
  <c r="Q10" i="11"/>
  <c r="C15" i="11"/>
  <c r="C5" i="11"/>
  <c r="Q6" i="11"/>
  <c r="C8" i="11"/>
  <c r="S10" i="11"/>
  <c r="E15" i="11"/>
  <c r="C16" i="11"/>
  <c r="Q9" i="11"/>
  <c r="C4" i="11"/>
  <c r="C11" i="11"/>
  <c r="Q12" i="11"/>
  <c r="Q5" i="11"/>
  <c r="C7" i="11"/>
  <c r="Q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tc={8B19172E-B978-4A53-BFF3-C0940E86A851}</author>
  </authors>
  <commentList>
    <comment ref="F8" authorId="0" shapeId="0" xr:uid="{8B19172E-B978-4A53-BFF3-C0940E86A8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data point was observed to be outliner, repeated measurements have been taken by the calibration provider later same month to verify the accuracy of this data point. 
Reply:
    @Siang-Yen Neng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<sst xmlns="http://schemas.openxmlformats.org/spreadsheetml/2006/main" count="38" uniqueCount="21">
  <si>
    <t>9334A-1G</t>
  </si>
  <si>
    <t>PN010048</t>
  </si>
  <si>
    <t>Prediction Interval (95%)</t>
  </si>
  <si>
    <r>
      <rPr>
        <b/>
        <sz val="9"/>
        <color rgb="FFC00000"/>
        <rFont val="Calibri"/>
        <family val="2"/>
      </rPr>
      <t xml:space="preserve">← </t>
    </r>
    <r>
      <rPr>
        <b/>
        <sz val="9"/>
        <color theme="1"/>
        <rFont val="Arial"/>
        <family val="2"/>
      </rPr>
      <t>PN010048</t>
    </r>
  </si>
  <si>
    <t>PN010050</t>
  </si>
  <si>
    <t>Date</t>
  </si>
  <si>
    <r>
      <t>Since Last Cal</t>
    </r>
    <r>
      <rPr>
        <b/>
        <sz val="8"/>
        <color theme="0" tint="-4.9989318521683403E-2"/>
        <rFont val="Arial"/>
        <family val="2"/>
      </rPr>
      <t xml:space="preserve"> [Days]</t>
    </r>
  </si>
  <si>
    <r>
      <t>Accumulated</t>
    </r>
    <r>
      <rPr>
        <b/>
        <sz val="8"/>
        <color theme="0" tint="-4.9989318521683403E-2"/>
        <rFont val="Arial"/>
        <family val="2"/>
      </rPr>
      <t xml:space="preserve"> [Days]</t>
    </r>
  </si>
  <si>
    <r>
      <t>Error</t>
    </r>
    <r>
      <rPr>
        <b/>
        <sz val="8"/>
        <color theme="0" tint="-4.9989318521683403E-2"/>
        <rFont val="Arial"/>
        <family val="2"/>
      </rPr>
      <t xml:space="preserve"> [PPM]</t>
    </r>
  </si>
  <si>
    <r>
      <t>Drifted</t>
    </r>
    <r>
      <rPr>
        <b/>
        <sz val="8"/>
        <color theme="0" tint="-4.9989318521683403E-2"/>
        <rFont val="Arial"/>
        <family val="2"/>
      </rPr>
      <t xml:space="preserve"> [PPM]</t>
    </r>
  </si>
  <si>
    <r>
      <t>MU</t>
    </r>
    <r>
      <rPr>
        <b/>
        <sz val="8"/>
        <color theme="0" tint="-4.9989318521683403E-2"/>
        <rFont val="Arial"/>
        <family val="2"/>
      </rPr>
      <t xml:space="preserve"> (K =2)</t>
    </r>
  </si>
  <si>
    <t>Prediction</t>
  </si>
  <si>
    <t>Lower</t>
  </si>
  <si>
    <t>Upper</t>
  </si>
  <si>
    <t>n</t>
  </si>
  <si>
    <t>df</t>
  </si>
  <si>
    <t>Mean of X</t>
  </si>
  <si>
    <t>Syx</t>
  </si>
  <si>
    <t>SSx</t>
  </si>
  <si>
    <r>
      <t xml:space="preserve">PN010050 </t>
    </r>
    <r>
      <rPr>
        <b/>
        <sz val="9"/>
        <color rgb="FFC00000"/>
        <rFont val="Calibri"/>
        <family val="2"/>
      </rPr>
      <t>→</t>
    </r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</si>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</sst>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"/>
    <numFmt numFmtId="166" formatCode="0.0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 tint="-4.9989318521683403E-2"/>
      <name val="Arial"/>
      <family val="2"/>
    </font>
    <font>
      <b/>
      <sz val="8"/>
      <color theme="0" tint="-4.9989318521683403E-2"/>
      <name val="Arial"/>
      <family val="2"/>
    </font>
    <font>
      <b/>
      <sz val="9"/>
      <color theme="0"/>
      <name val="Arial"/>
      <family val="2"/>
    </font>
    <font>
      <b/>
      <sz val="9"/>
      <color rgb="FFC00000"/>
      <name val="Calibri"/>
      <family val="2"/>
    </font>
    <font>
      <sz val="9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74F6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166" fontId="1" fillId="2" borderId="0" xfId="0" applyNumberFormat="1" applyFont="1" applyFill="1" applyAlignment="1">
      <alignment horizontal="center" vertical="center"/>
    </xf>
    <xf numFmtId="15" fontId="1" fillId="9" borderId="0" xfId="0" applyNumberFormat="1" applyFont="1" applyFill="1" applyAlignment="1">
      <alignment horizontal="center" vertical="center"/>
    </xf>
    <xf numFmtId="1" fontId="1" fillId="9" borderId="0" xfId="0" applyNumberFormat="1" applyFont="1" applyFill="1" applyAlignment="1">
      <alignment horizontal="center" vertical="center"/>
    </xf>
    <xf numFmtId="166" fontId="1" fillId="9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1" fontId="1" fillId="9" borderId="0" xfId="0" applyNumberFormat="1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PN010048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'1G Ohm'!$F$2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'1G Ohm'!$C$3:$C$20</c:f>
              <c:numCache>
                <c:formatCode>0</c:formatCode>
                <c:ptCount val="18"/>
                <c:pt idx="0">
                  <c:v>0</c:v>
                </c:pt>
                <c:pt idx="1">
                  <c:v>396</c:v>
                </c:pt>
                <c:pt idx="2">
                  <c:v>821</c:v>
                </c:pt>
                <c:pt idx="3">
                  <c:v>1737</c:v>
                </c:pt>
                <c:pt idx="4">
                  <c:v>2066</c:v>
                </c:pt>
                <c:pt idx="5">
                  <c:v>2467</c:v>
                </c:pt>
                <c:pt idx="6">
                  <c:v>2478</c:v>
                </c:pt>
                <c:pt idx="7">
                  <c:v>2585</c:v>
                </c:pt>
                <c:pt idx="8">
                  <c:v>2615</c:v>
                </c:pt>
                <c:pt idx="9">
                  <c:v>2627</c:v>
                </c:pt>
                <c:pt idx="10">
                  <c:v>3196</c:v>
                </c:pt>
                <c:pt idx="11">
                  <c:v>3495</c:v>
                </c:pt>
                <c:pt idx="12">
                  <c:v>3649</c:v>
                </c:pt>
                <c:pt idx="13">
                  <c:v>3841</c:v>
                </c:pt>
                <c:pt idx="14">
                  <c:v>4081</c:v>
                </c:pt>
                <c:pt idx="15">
                  <c:v>4393</c:v>
                </c:pt>
                <c:pt idx="16">
                  <c:v>4599</c:v>
                </c:pt>
                <c:pt idx="17">
                  <c:v>4881</c:v>
                </c:pt>
              </c:numCache>
            </c:numRef>
          </c:xVal>
          <c:yVal>
            <c:numRef>
              <c:f>'1G Ohm'!$F$3:$F$20</c:f>
              <c:numCache>
                <c:formatCode>General</c:formatCode>
                <c:ptCount val="18"/>
                <c:pt idx="0">
                  <c:v>999964000</c:v>
                </c:pt>
                <c:pt idx="1">
                  <c:v>999969000</c:v>
                </c:pt>
                <c:pt idx="2">
                  <c:v>999984500</c:v>
                </c:pt>
                <c:pt idx="3">
                  <c:v>1000040000</c:v>
                </c:pt>
                <c:pt idx="4">
                  <c:v>1000037000</c:v>
                </c:pt>
                <c:pt idx="5">
                  <c:v>999609000</c:v>
                </c:pt>
                <c:pt idx="6">
                  <c:v>1000096000</c:v>
                </c:pt>
                <c:pt idx="7">
                  <c:v>1000042000</c:v>
                </c:pt>
                <c:pt idx="8">
                  <c:v>1000048000</c:v>
                </c:pt>
                <c:pt idx="9">
                  <c:v>1000051000</c:v>
                </c:pt>
                <c:pt idx="10">
                  <c:v>1000059000</c:v>
                </c:pt>
                <c:pt idx="11">
                  <c:v>999887000</c:v>
                </c:pt>
                <c:pt idx="12">
                  <c:v>1000019000</c:v>
                </c:pt>
                <c:pt idx="13" formatCode="0">
                  <c:v>1000013000</c:v>
                </c:pt>
                <c:pt idx="14" formatCode="0">
                  <c:v>999788000</c:v>
                </c:pt>
                <c:pt idx="15" formatCode="0">
                  <c:v>999786800</c:v>
                </c:pt>
                <c:pt idx="16" formatCode="0">
                  <c:v>999767000</c:v>
                </c:pt>
                <c:pt idx="17" formatCode="0">
                  <c:v>999927000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EA-49FB-BED9-9C0A82C3D5AC}"/>
            </c:ext>
          </c:extLst>
        </c:ser>
        <c:ser>
          <c:idx val="1"/>
          <c:order val="1"/>
          <c:tx>
            <c:strRef>
              <c:f>'1G Ohm'!$H$2</c:f>
              <c:strCache>
                <c:ptCount val="1"/>
                <c:pt idx="0">
                  <c:v>Prediction</c:v>
                </c:pt>
              </c:strCache>
            </c:strRef>
          </c:tx>
          <c:spPr>
            <a:ln w="15875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'1G Ohm'!$C$3:$C$20</c:f>
              <c:numCache>
                <c:formatCode>0</c:formatCode>
                <c:ptCount val="18"/>
                <c:pt idx="0">
                  <c:v>0</c:v>
                </c:pt>
                <c:pt idx="1">
                  <c:v>396</c:v>
                </c:pt>
                <c:pt idx="2">
                  <c:v>821</c:v>
                </c:pt>
                <c:pt idx="3">
                  <c:v>1737</c:v>
                </c:pt>
                <c:pt idx="4">
                  <c:v>2066</c:v>
                </c:pt>
                <c:pt idx="5">
                  <c:v>2467</c:v>
                </c:pt>
                <c:pt idx="6">
                  <c:v>2478</c:v>
                </c:pt>
                <c:pt idx="7">
                  <c:v>2585</c:v>
                </c:pt>
                <c:pt idx="8">
                  <c:v>2615</c:v>
                </c:pt>
                <c:pt idx="9">
                  <c:v>2627</c:v>
                </c:pt>
                <c:pt idx="10">
                  <c:v>3196</c:v>
                </c:pt>
                <c:pt idx="11">
                  <c:v>3495</c:v>
                </c:pt>
                <c:pt idx="12">
                  <c:v>3649</c:v>
                </c:pt>
                <c:pt idx="13">
                  <c:v>3841</c:v>
                </c:pt>
                <c:pt idx="14">
                  <c:v>4081</c:v>
                </c:pt>
                <c:pt idx="15">
                  <c:v>4393</c:v>
                </c:pt>
                <c:pt idx="16">
                  <c:v>4599</c:v>
                </c:pt>
                <c:pt idx="17">
                  <c:v>4881</c:v>
                </c:pt>
              </c:numCache>
            </c:numRef>
          </c:xVal>
          <c:yVal>
            <c:numRef>
              <c:f>'1G Ohm'!$H$3:$H$20</c:f>
              <c:numCache>
                <c:formatCode>0.0</c:formatCode>
                <c:ptCount val="18"/>
                <c:pt idx="0">
                  <c:v>1000039508.3231485</c:v>
                </c:pt>
                <c:pt idx="1">
                  <c:v>1000026222.0994786</c:v>
                </c:pt>
                <c:pt idx="2">
                  <c:v>1000011962.8947823</c:v>
                </c:pt>
                <c:pt idx="3">
                  <c:v>999981230.11477816</c:v>
                </c:pt>
                <c:pt idx="4">
                  <c:v>999970191.81278968</c:v>
                </c:pt>
                <c:pt idx="5">
                  <c:v>999956737.83377039</c:v>
                </c:pt>
                <c:pt idx="6">
                  <c:v>999956368.77200186</c:v>
                </c:pt>
                <c:pt idx="7">
                  <c:v>999952778.8075254</c:v>
                </c:pt>
                <c:pt idx="8">
                  <c:v>999951772.27542913</c:v>
                </c:pt>
                <c:pt idx="9">
                  <c:v>999951369.66259062</c:v>
                </c:pt>
                <c:pt idx="10">
                  <c:v>999932279.1038326</c:v>
                </c:pt>
                <c:pt idx="11">
                  <c:v>999922247.33394039</c:v>
                </c:pt>
                <c:pt idx="12">
                  <c:v>999917080.46917987</c:v>
                </c:pt>
                <c:pt idx="13">
                  <c:v>999910638.66376424</c:v>
                </c:pt>
                <c:pt idx="14">
                  <c:v>999902586.40699458</c:v>
                </c:pt>
                <c:pt idx="15">
                  <c:v>999892118.473194</c:v>
                </c:pt>
                <c:pt idx="16">
                  <c:v>999885206.95280004</c:v>
                </c:pt>
                <c:pt idx="17">
                  <c:v>999875745.55109572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EA-49FB-BED9-9C0A82C3D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'1G Ohm'!$C$3:$C$20</c:f>
              <c:numCache>
                <c:formatCode>0</c:formatCode>
                <c:ptCount val="18"/>
                <c:pt idx="0">
                  <c:v>0</c:v>
                </c:pt>
                <c:pt idx="1">
                  <c:v>396</c:v>
                </c:pt>
                <c:pt idx="2">
                  <c:v>821</c:v>
                </c:pt>
                <c:pt idx="3">
                  <c:v>1737</c:v>
                </c:pt>
                <c:pt idx="4">
                  <c:v>2066</c:v>
                </c:pt>
                <c:pt idx="5">
                  <c:v>2467</c:v>
                </c:pt>
                <c:pt idx="6">
                  <c:v>2478</c:v>
                </c:pt>
                <c:pt idx="7">
                  <c:v>2585</c:v>
                </c:pt>
                <c:pt idx="8">
                  <c:v>2615</c:v>
                </c:pt>
                <c:pt idx="9">
                  <c:v>2627</c:v>
                </c:pt>
                <c:pt idx="10">
                  <c:v>3196</c:v>
                </c:pt>
                <c:pt idx="11">
                  <c:v>3495</c:v>
                </c:pt>
                <c:pt idx="12">
                  <c:v>3649</c:v>
                </c:pt>
                <c:pt idx="13">
                  <c:v>3841</c:v>
                </c:pt>
                <c:pt idx="14">
                  <c:v>4081</c:v>
                </c:pt>
                <c:pt idx="15">
                  <c:v>4393</c:v>
                </c:pt>
                <c:pt idx="16">
                  <c:v>4599</c:v>
                </c:pt>
                <c:pt idx="17">
                  <c:v>4881</c:v>
                </c:pt>
              </c:numCache>
            </c:numRef>
          </c:xVal>
          <c:yVal>
            <c:numRef>
              <c:f>'1G Ohm'!$I$3:$I$20</c:f>
              <c:numCache>
                <c:formatCode>0.0</c:formatCode>
                <c:ptCount val="18"/>
                <c:pt idx="0">
                  <c:v>999718477.3276999</c:v>
                </c:pt>
                <c:pt idx="1">
                  <c:v>999713560.71064866</c:v>
                </c:pt>
                <c:pt idx="2">
                  <c:v>999706974.33292353</c:v>
                </c:pt>
                <c:pt idx="3">
                  <c:v>999687701.73448014</c:v>
                </c:pt>
                <c:pt idx="4">
                  <c:v>999678963.2072295</c:v>
                </c:pt>
                <c:pt idx="5">
                  <c:v>999666954.22705054</c:v>
                </c:pt>
                <c:pt idx="6">
                  <c:v>999666603.54481542</c:v>
                </c:pt>
                <c:pt idx="7">
                  <c:v>999663132.88616323</c:v>
                </c:pt>
                <c:pt idx="8">
                  <c:v>999662140.43285918</c:v>
                </c:pt>
                <c:pt idx="9">
                  <c:v>999661741.07521462</c:v>
                </c:pt>
                <c:pt idx="10">
                  <c:v>999641249.4345994</c:v>
                </c:pt>
                <c:pt idx="11">
                  <c:v>999629271.82042968</c:v>
                </c:pt>
                <c:pt idx="12">
                  <c:v>999622783.86496532</c:v>
                </c:pt>
                <c:pt idx="13">
                  <c:v>999614396.83361995</c:v>
                </c:pt>
                <c:pt idx="14">
                  <c:v>999603457.13213336</c:v>
                </c:pt>
                <c:pt idx="15">
                  <c:v>999588501.01488376</c:v>
                </c:pt>
                <c:pt idx="16">
                  <c:v>999578187.1325258</c:v>
                </c:pt>
                <c:pt idx="17">
                  <c:v>999563525.82877254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EA-49FB-BED9-9C0A82C3D5AC}"/>
            </c:ext>
          </c:extLst>
        </c:ser>
        <c:ser>
          <c:idx val="3"/>
          <c:order val="3"/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'1G Ohm'!$C$3:$C$20</c:f>
              <c:numCache>
                <c:formatCode>0</c:formatCode>
                <c:ptCount val="18"/>
                <c:pt idx="0">
                  <c:v>0</c:v>
                </c:pt>
                <c:pt idx="1">
                  <c:v>396</c:v>
                </c:pt>
                <c:pt idx="2">
                  <c:v>821</c:v>
                </c:pt>
                <c:pt idx="3">
                  <c:v>1737</c:v>
                </c:pt>
                <c:pt idx="4">
                  <c:v>2066</c:v>
                </c:pt>
                <c:pt idx="5">
                  <c:v>2467</c:v>
                </c:pt>
                <c:pt idx="6">
                  <c:v>2478</c:v>
                </c:pt>
                <c:pt idx="7">
                  <c:v>2585</c:v>
                </c:pt>
                <c:pt idx="8">
                  <c:v>2615</c:v>
                </c:pt>
                <c:pt idx="9">
                  <c:v>2627</c:v>
                </c:pt>
                <c:pt idx="10">
                  <c:v>3196</c:v>
                </c:pt>
                <c:pt idx="11">
                  <c:v>3495</c:v>
                </c:pt>
                <c:pt idx="12">
                  <c:v>3649</c:v>
                </c:pt>
                <c:pt idx="13">
                  <c:v>3841</c:v>
                </c:pt>
                <c:pt idx="14">
                  <c:v>4081</c:v>
                </c:pt>
                <c:pt idx="15">
                  <c:v>4393</c:v>
                </c:pt>
                <c:pt idx="16">
                  <c:v>4599</c:v>
                </c:pt>
                <c:pt idx="17">
                  <c:v>4881</c:v>
                </c:pt>
              </c:numCache>
            </c:numRef>
          </c:xVal>
          <c:yVal>
            <c:numRef>
              <c:f>'1G Ohm'!$J$3:$J$20</c:f>
              <c:numCache>
                <c:formatCode>0.0</c:formatCode>
                <c:ptCount val="18"/>
                <c:pt idx="0">
                  <c:v>1000360539.3185971</c:v>
                </c:pt>
                <c:pt idx="1">
                  <c:v>1000338883.4883085</c:v>
                </c:pt>
                <c:pt idx="2">
                  <c:v>1000316951.4566411</c:v>
                </c:pt>
                <c:pt idx="3">
                  <c:v>1000274758.4950762</c:v>
                </c:pt>
                <c:pt idx="4">
                  <c:v>1000261420.4183499</c:v>
                </c:pt>
                <c:pt idx="5">
                  <c:v>1000246521.4404902</c:v>
                </c:pt>
                <c:pt idx="6">
                  <c:v>1000246133.9991883</c:v>
                </c:pt>
                <c:pt idx="7">
                  <c:v>1000242424.7288876</c:v>
                </c:pt>
                <c:pt idx="8">
                  <c:v>1000241404.1179991</c:v>
                </c:pt>
                <c:pt idx="9">
                  <c:v>1000240998.2499666</c:v>
                </c:pt>
                <c:pt idx="10">
                  <c:v>1000223308.7730658</c:v>
                </c:pt>
                <c:pt idx="11">
                  <c:v>1000215222.8474511</c:v>
                </c:pt>
                <c:pt idx="12">
                  <c:v>1000211377.0733944</c:v>
                </c:pt>
                <c:pt idx="13">
                  <c:v>1000206880.4939085</c:v>
                </c:pt>
                <c:pt idx="14">
                  <c:v>1000201715.6818558</c:v>
                </c:pt>
                <c:pt idx="15">
                  <c:v>1000195735.9315042</c:v>
                </c:pt>
                <c:pt idx="16">
                  <c:v>1000192226.7730743</c:v>
                </c:pt>
                <c:pt idx="17">
                  <c:v>1000187965.2734189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EA-49FB-BED9-9C0A82C3D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473724799425115"/>
          <c:y val="0.82849799161845106"/>
          <c:w val="0.73625727919235473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PN010050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layout>
        <c:manualLayout>
          <c:xMode val="edge"/>
          <c:yMode val="edge"/>
          <c:x val="0.27812964494185277"/>
          <c:y val="2.361439734477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'1G Ohm'!$T$2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'1G Ohm'!$Q$3:$Q$16</c:f>
              <c:numCache>
                <c:formatCode>0</c:formatCode>
                <c:ptCount val="14"/>
                <c:pt idx="0">
                  <c:v>0</c:v>
                </c:pt>
                <c:pt idx="1">
                  <c:v>526</c:v>
                </c:pt>
                <c:pt idx="2">
                  <c:v>934</c:v>
                </c:pt>
                <c:pt idx="3">
                  <c:v>1232</c:v>
                </c:pt>
                <c:pt idx="4">
                  <c:v>1379</c:v>
                </c:pt>
                <c:pt idx="5">
                  <c:v>1719</c:v>
                </c:pt>
                <c:pt idx="6">
                  <c:v>1984</c:v>
                </c:pt>
                <c:pt idx="7">
                  <c:v>2165</c:v>
                </c:pt>
                <c:pt idx="8">
                  <c:v>2411</c:v>
                </c:pt>
                <c:pt idx="9">
                  <c:v>2641</c:v>
                </c:pt>
                <c:pt idx="10">
                  <c:v>2862</c:v>
                </c:pt>
                <c:pt idx="11">
                  <c:v>3115</c:v>
                </c:pt>
                <c:pt idx="12">
                  <c:v>3388</c:v>
                </c:pt>
                <c:pt idx="13">
                  <c:v>3686</c:v>
                </c:pt>
              </c:numCache>
            </c:numRef>
          </c:xVal>
          <c:yVal>
            <c:numRef>
              <c:f>'1G Ohm'!$T$3:$T$16</c:f>
              <c:numCache>
                <c:formatCode>0</c:formatCode>
                <c:ptCount val="14"/>
                <c:pt idx="0">
                  <c:v>1000191600</c:v>
                </c:pt>
                <c:pt idx="1">
                  <c:v>1000490800</c:v>
                </c:pt>
                <c:pt idx="2">
                  <c:v>1000057000</c:v>
                </c:pt>
                <c:pt idx="3">
                  <c:v>1000028000</c:v>
                </c:pt>
                <c:pt idx="4">
                  <c:v>1000035000</c:v>
                </c:pt>
                <c:pt idx="5" formatCode="General">
                  <c:v>999969000</c:v>
                </c:pt>
                <c:pt idx="6">
                  <c:v>1000021000</c:v>
                </c:pt>
                <c:pt idx="7" formatCode="General">
                  <c:v>999969000</c:v>
                </c:pt>
                <c:pt idx="8">
                  <c:v>999922000</c:v>
                </c:pt>
                <c:pt idx="9">
                  <c:v>999910000</c:v>
                </c:pt>
                <c:pt idx="10">
                  <c:v>999895000</c:v>
                </c:pt>
                <c:pt idx="11">
                  <c:v>999842000</c:v>
                </c:pt>
                <c:pt idx="12">
                  <c:v>999788000</c:v>
                </c:pt>
                <c:pt idx="13">
                  <c:v>999916000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3-4FDF-8C21-72DB6CA9E126}"/>
            </c:ext>
          </c:extLst>
        </c:ser>
        <c:ser>
          <c:idx val="1"/>
          <c:order val="1"/>
          <c:tx>
            <c:strRef>
              <c:f>'1G Ohm'!$V$2</c:f>
              <c:strCache>
                <c:ptCount val="1"/>
                <c:pt idx="0">
                  <c:v>Prediction</c:v>
                </c:pt>
              </c:strCache>
            </c:strRef>
          </c:tx>
          <c:spPr>
            <a:ln w="19050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'1G Ohm'!$Q$3:$Q$16</c:f>
              <c:numCache>
                <c:formatCode>0</c:formatCode>
                <c:ptCount val="14"/>
                <c:pt idx="0">
                  <c:v>0</c:v>
                </c:pt>
                <c:pt idx="1">
                  <c:v>526</c:v>
                </c:pt>
                <c:pt idx="2">
                  <c:v>934</c:v>
                </c:pt>
                <c:pt idx="3">
                  <c:v>1232</c:v>
                </c:pt>
                <c:pt idx="4">
                  <c:v>1379</c:v>
                </c:pt>
                <c:pt idx="5">
                  <c:v>1719</c:v>
                </c:pt>
                <c:pt idx="6">
                  <c:v>1984</c:v>
                </c:pt>
                <c:pt idx="7">
                  <c:v>2165</c:v>
                </c:pt>
                <c:pt idx="8">
                  <c:v>2411</c:v>
                </c:pt>
                <c:pt idx="9">
                  <c:v>2641</c:v>
                </c:pt>
                <c:pt idx="10">
                  <c:v>2862</c:v>
                </c:pt>
                <c:pt idx="11">
                  <c:v>3115</c:v>
                </c:pt>
                <c:pt idx="12">
                  <c:v>3388</c:v>
                </c:pt>
                <c:pt idx="13">
                  <c:v>3686</c:v>
                </c:pt>
              </c:numCache>
            </c:numRef>
          </c:xVal>
          <c:yVal>
            <c:numRef>
              <c:f>'1G Ohm'!$V$3:$V$16</c:f>
              <c:numCache>
                <c:formatCode>0.0</c:formatCode>
                <c:ptCount val="14"/>
                <c:pt idx="0">
                  <c:v>1000281527.79144</c:v>
                </c:pt>
                <c:pt idx="1">
                  <c:v>1000205045.2558075</c:v>
                </c:pt>
                <c:pt idx="2">
                  <c:v>1000145720.3992711</c:v>
                </c:pt>
                <c:pt idx="3">
                  <c:v>1000102389.9893501</c:v>
                </c:pt>
                <c:pt idx="4">
                  <c:v>1000081015.5925099</c:v>
                </c:pt>
                <c:pt idx="5">
                  <c:v>1000031578.212063</c:v>
                </c:pt>
                <c:pt idx="6">
                  <c:v>999993046.1361264</c:v>
                </c:pt>
                <c:pt idx="7">
                  <c:v>999966728.00124145</c:v>
                </c:pt>
                <c:pt idx="8">
                  <c:v>999930958.60244751</c:v>
                </c:pt>
                <c:pt idx="9">
                  <c:v>999897515.6686157</c:v>
                </c:pt>
                <c:pt idx="10">
                  <c:v>999865381.37132525</c:v>
                </c:pt>
                <c:pt idx="11">
                  <c:v>999828594.14411032</c:v>
                </c:pt>
                <c:pt idx="12">
                  <c:v>999788898.83569276</c:v>
                </c:pt>
                <c:pt idx="13">
                  <c:v>999745568.42577159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3-4FDF-8C21-72DB6CA9E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'1G Ohm'!$Q$3:$Q$16</c:f>
              <c:numCache>
                <c:formatCode>0</c:formatCode>
                <c:ptCount val="14"/>
                <c:pt idx="0">
                  <c:v>0</c:v>
                </c:pt>
                <c:pt idx="1">
                  <c:v>526</c:v>
                </c:pt>
                <c:pt idx="2">
                  <c:v>934</c:v>
                </c:pt>
                <c:pt idx="3">
                  <c:v>1232</c:v>
                </c:pt>
                <c:pt idx="4">
                  <c:v>1379</c:v>
                </c:pt>
                <c:pt idx="5">
                  <c:v>1719</c:v>
                </c:pt>
                <c:pt idx="6">
                  <c:v>1984</c:v>
                </c:pt>
                <c:pt idx="7">
                  <c:v>2165</c:v>
                </c:pt>
                <c:pt idx="8">
                  <c:v>2411</c:v>
                </c:pt>
                <c:pt idx="9">
                  <c:v>2641</c:v>
                </c:pt>
                <c:pt idx="10">
                  <c:v>2862</c:v>
                </c:pt>
                <c:pt idx="11">
                  <c:v>3115</c:v>
                </c:pt>
                <c:pt idx="12">
                  <c:v>3388</c:v>
                </c:pt>
                <c:pt idx="13">
                  <c:v>3686</c:v>
                </c:pt>
              </c:numCache>
            </c:numRef>
          </c:xVal>
          <c:yVal>
            <c:numRef>
              <c:f>'1G Ohm'!$W$3:$W$16</c:f>
              <c:numCache>
                <c:formatCode>0.0</c:formatCode>
                <c:ptCount val="14"/>
                <c:pt idx="0">
                  <c:v>999998844.81235874</c:v>
                </c:pt>
                <c:pt idx="1">
                  <c:v>999940085.63031864</c:v>
                </c:pt>
                <c:pt idx="2">
                  <c:v>999892445.80446374</c:v>
                </c:pt>
                <c:pt idx="3">
                  <c:v>999856344.57138801</c:v>
                </c:pt>
                <c:pt idx="4">
                  <c:v>999838094.60518217</c:v>
                </c:pt>
                <c:pt idx="5">
                  <c:v>999794687.6859175</c:v>
                </c:pt>
                <c:pt idx="6">
                  <c:v>999759633.07111669</c:v>
                </c:pt>
                <c:pt idx="7">
                  <c:v>999735045.75710177</c:v>
                </c:pt>
                <c:pt idx="8">
                  <c:v>999700766.01014853</c:v>
                </c:pt>
                <c:pt idx="9">
                  <c:v>999667801.59921873</c:v>
                </c:pt>
                <c:pt idx="10">
                  <c:v>999635289.26267684</c:v>
                </c:pt>
                <c:pt idx="11">
                  <c:v>999597066.72919679</c:v>
                </c:pt>
                <c:pt idx="12">
                  <c:v>999554644.74394119</c:v>
                </c:pt>
                <c:pt idx="13">
                  <c:v>999506991.22053003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03-4FDF-8C21-72DB6CA9E126}"/>
            </c:ext>
          </c:extLst>
        </c:ser>
        <c:ser>
          <c:idx val="3"/>
          <c:order val="3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'1G Ohm'!$Q$3:$Q$16</c:f>
              <c:numCache>
                <c:formatCode>0</c:formatCode>
                <c:ptCount val="14"/>
                <c:pt idx="0">
                  <c:v>0</c:v>
                </c:pt>
                <c:pt idx="1">
                  <c:v>526</c:v>
                </c:pt>
                <c:pt idx="2">
                  <c:v>934</c:v>
                </c:pt>
                <c:pt idx="3">
                  <c:v>1232</c:v>
                </c:pt>
                <c:pt idx="4">
                  <c:v>1379</c:v>
                </c:pt>
                <c:pt idx="5">
                  <c:v>1719</c:v>
                </c:pt>
                <c:pt idx="6">
                  <c:v>1984</c:v>
                </c:pt>
                <c:pt idx="7">
                  <c:v>2165</c:v>
                </c:pt>
                <c:pt idx="8">
                  <c:v>2411</c:v>
                </c:pt>
                <c:pt idx="9">
                  <c:v>2641</c:v>
                </c:pt>
                <c:pt idx="10">
                  <c:v>2862</c:v>
                </c:pt>
                <c:pt idx="11">
                  <c:v>3115</c:v>
                </c:pt>
                <c:pt idx="12">
                  <c:v>3388</c:v>
                </c:pt>
                <c:pt idx="13">
                  <c:v>3686</c:v>
                </c:pt>
              </c:numCache>
            </c:numRef>
          </c:xVal>
          <c:yVal>
            <c:numRef>
              <c:f>'1G Ohm'!$X$3:$X$16</c:f>
              <c:numCache>
                <c:formatCode>0.0</c:formatCode>
                <c:ptCount val="14"/>
                <c:pt idx="0">
                  <c:v>1000564210.7705213</c:v>
                </c:pt>
                <c:pt idx="1">
                  <c:v>1000470004.8812964</c:v>
                </c:pt>
                <c:pt idx="2">
                  <c:v>1000398994.9940785</c:v>
                </c:pt>
                <c:pt idx="3">
                  <c:v>1000348435.4073122</c:v>
                </c:pt>
                <c:pt idx="4">
                  <c:v>1000323936.5798376</c:v>
                </c:pt>
                <c:pt idx="5">
                  <c:v>1000268468.7382084</c:v>
                </c:pt>
                <c:pt idx="6">
                  <c:v>1000226459.2011361</c:v>
                </c:pt>
                <c:pt idx="7">
                  <c:v>1000198410.2453811</c:v>
                </c:pt>
                <c:pt idx="8">
                  <c:v>1000161151.1947465</c:v>
                </c:pt>
                <c:pt idx="9">
                  <c:v>1000127229.7380127</c:v>
                </c:pt>
                <c:pt idx="10">
                  <c:v>1000095473.4799737</c:v>
                </c:pt>
                <c:pt idx="11">
                  <c:v>1000060121.5590239</c:v>
                </c:pt>
                <c:pt idx="12">
                  <c:v>1000023152.9274443</c:v>
                </c:pt>
                <c:pt idx="13">
                  <c:v>999984145.63101315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03-4FDF-8C21-72DB6CA9E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554551388843902E-2"/>
          <c:y val="0.82849799161845106"/>
          <c:w val="0.82644001876743534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1028700</xdr:colOff>
      <xdr:row>20</xdr:row>
      <xdr:rowOff>15352</xdr:rowOff>
    </xdr:from>
    <xdr:to>
      <xdr:col>9</xdr:col>
      <xdr:colOff>136712</xdr:colOff>
      <xdr:row>41</xdr:row>
      <xdr:rowOff>39892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3B0D45-CB00-4C15-BFEB-A272F4974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610832</xdr:colOff>
      <xdr:row>17</xdr:row>
      <xdr:rowOff>66675</xdr:rowOff>
    </xdr:from>
    <xdr:to>
      <xdr:col>21</xdr:col>
      <xdr:colOff>689274</xdr:colOff>
      <xdr:row>38</xdr:row>
      <xdr:rowOff>93120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F2E845-949F-44B2-88A8-D72F82DF7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iyanang\Desktop\1%20Ohm.xlsx" TargetMode="External"/><Relationship Id="rId1" Type="http://schemas.openxmlformats.org/officeDocument/2006/relationships/externalLinkPath" Target="https://keysighttech.sharepoint.com/sites/PG3458AGoldCal/Shared%20Documents/ETEs%20Performance%20and%20Management/Resistance%20Standards/1%20Oh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 Ohm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ang-Yen Neng" id="{EF16A42F-E76C-4CDA-A786-ECE7B89CEA16}" userId="siang-yen_neng@keysight.com" providerId="PeoplePicker"/>
  <person displayName="Zi-Yang Ang" id="{8402B4DB-8DE5-41FD-BFF0-7D6E5B68AD31}" userId="S::zi-yang.ang@non.keysight.com::6ec80dae-b2a0-4d1b-90f8-6d857c105e2d" providerId="AD"/>
</personList>
</file>

<file path=xl/theme/theme1.xml><?xml version="1.0" encoding="utf-8"?>
<a:theme xmlns:a="http://schemas.openxmlformats.org/drawingml/2006/main" name="Office Theme">
  <a:themeElements>
    <a:clrScheme name="Refreshed Keysight Theme">
      <a:dk1>
        <a:sysClr val="windowText" lastClr="000000"/>
      </a:dk1>
      <a:lt1>
        <a:srgbClr val="FFFFFF"/>
      </a:lt1>
      <a:dk2>
        <a:srgbClr val="A4A1A9"/>
      </a:dk2>
      <a:lt2>
        <a:srgbClr val="FFA623"/>
      </a:lt2>
      <a:accent1>
        <a:srgbClr val="E90029"/>
      </a:accent1>
      <a:accent2>
        <a:srgbClr val="E76C27"/>
      </a:accent2>
      <a:accent3>
        <a:srgbClr val="8D3785"/>
      </a:accent3>
      <a:accent4>
        <a:srgbClr val="5B348A"/>
      </a:accent4>
      <a:accent5>
        <a:srgbClr val="225792"/>
      </a:accent5>
      <a:accent6>
        <a:srgbClr val="07858B"/>
      </a:accent6>
      <a:hlink>
        <a:srgbClr val="E90029"/>
      </a:hlink>
      <a:folHlink>
        <a:srgbClr val="74001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" dT="2024-07-25T06:36:41.99" personId="{8402B4DB-8DE5-41FD-BFF0-7D6E5B68AD31}" id="{8B19172E-B978-4A53-BFF3-C0940E86A851}">
    <text xml:space="preserve">This data point was observed to be outliner, repeated measurements have been taken by the calibration provider later same month to verify the accuracy of this data point. </text>
  </threadedComment>
  <threadedComment ref="F8" dT="2024-07-25T06:36:47.93" personId="{8402B4DB-8DE5-41FD-BFF0-7D6E5B68AD31}" id="{AF3C3633-4C1C-42C1-91CE-F79BC5744BE5}" parentId="{8B19172E-B978-4A53-BFF3-C0940E86A851}">
    <text xml:space="preserve">@Siang-Yen Neng </text>
    <mentions>
      <mention mentionpersonId="{EF16A42F-E76C-4CDA-A786-ECE7B89CEA16}" mentionId="{6C26C629-0993-4486-9C02-59A089D4D614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34E1-464C-4972-BA1B-34ECAFEC69EE}">
  <sheetPr>
    <tabColor theme="9" tint="0.39997558519241921"/>
  </sheetPr>
  <dimension ref="A1:X1048575"/>
  <sheetViews>
    <sheetView tabSelected="1" topLeftCell="D1" zoomScale="115" zoomScaleNormal="115" workbookViewId="0">
      <selection activeCell="D2" sqref="D2"/>
    </sheetView>
  </sheetViews>
  <sheetFormatPr defaultColWidth="8.81640625" defaultRowHeight="11.5" x14ac:dyDescent="0.35"/>
  <cols>
    <col min="1" max="1" width="11" style="2" customWidth="1"/>
    <col min="2" max="2" width="18.1796875" style="2" bestFit="1" customWidth="1"/>
    <col min="3" max="3" width="17.26953125" style="2" bestFit="1" customWidth="1"/>
    <col min="4" max="4" width="10.1796875" style="2" bestFit="1" customWidth="1"/>
    <col min="5" max="5" width="11.453125" style="2" bestFit="1" customWidth="1"/>
    <col min="6" max="6" width="11" style="2" bestFit="1" customWidth="1"/>
    <col min="7" max="7" width="8.26953125" style="2" bestFit="1" customWidth="1"/>
    <col min="8" max="8" width="12.453125" style="2" bestFit="1" customWidth="1"/>
    <col min="9" max="9" width="13.54296875" style="2" bestFit="1" customWidth="1"/>
    <col min="10" max="10" width="12.453125" style="2" bestFit="1" customWidth="1"/>
    <col min="11" max="11" width="1" style="2" customWidth="1"/>
    <col min="12" max="12" width="8.453125" style="2" bestFit="1" customWidth="1"/>
    <col min="13" max="13" width="12" style="2" bestFit="1" customWidth="1"/>
    <col min="14" max="14" width="1" style="2" customWidth="1"/>
    <col min="15" max="15" width="10.54296875" style="2" customWidth="1"/>
    <col min="16" max="16" width="18.1796875" style="2" bestFit="1" customWidth="1"/>
    <col min="17" max="17" width="17.26953125" style="2" bestFit="1" customWidth="1"/>
    <col min="18" max="18" width="10.1796875" style="2" bestFit="1" customWidth="1"/>
    <col min="19" max="20" width="11.453125" style="2" bestFit="1" customWidth="1"/>
    <col min="21" max="21" width="8.26953125" style="2" bestFit="1" customWidth="1"/>
    <col min="22" max="23" width="12.453125" style="2" bestFit="1" customWidth="1"/>
    <col min="24" max="24" width="12.54296875" style="2" bestFit="1" customWidth="1"/>
    <col min="25" max="16384" width="8.81640625" style="2"/>
  </cols>
  <sheetData>
    <row r="1" spans="1:24" ht="12" x14ac:dyDescent="0.35">
      <c r="A1" s="9"/>
      <c r="B1" s="10" t="s">
        <v>0</v>
      </c>
      <c r="C1" s="12" t="s">
        <v>1</v>
      </c>
      <c r="D1" s="12">
        <v>68820</v>
      </c>
      <c r="E1" s="9"/>
      <c r="F1" s="9"/>
      <c r="G1" s="9"/>
      <c r="H1" s="23" t="s">
        <v>2</v>
      </c>
      <c r="I1" s="23"/>
      <c r="J1" s="23"/>
      <c r="K1" s="13"/>
      <c r="L1" s="24" t="s">
        <v>3</v>
      </c>
      <c r="M1" s="24"/>
      <c r="N1" s="13"/>
      <c r="O1" s="9"/>
      <c r="P1" s="10" t="s">
        <v>0</v>
      </c>
      <c r="Q1" s="12" t="s">
        <v>4</v>
      </c>
      <c r="R1" s="12">
        <v>71145</v>
      </c>
      <c r="S1" s="9"/>
      <c r="T1" s="9"/>
      <c r="U1" s="9"/>
      <c r="V1" s="23" t="s">
        <v>2</v>
      </c>
      <c r="W1" s="23"/>
      <c r="X1" s="23"/>
    </row>
    <row r="2" spans="1:24" ht="13.15" customHeight="1" x14ac:dyDescent="0.35">
      <c r="A2" s="10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1" t="s">
        <v>20</v>
      </c>
      <c r="G2" s="10" t="s">
        <v>10</v>
      </c>
      <c r="H2" s="8" t="s">
        <v>11</v>
      </c>
      <c r="I2" s="8" t="s">
        <v>12</v>
      </c>
      <c r="J2" s="8" t="s">
        <v>13</v>
      </c>
      <c r="K2" s="13"/>
      <c r="L2" s="14" t="s">
        <v>14</v>
      </c>
      <c r="M2" s="15">
        <f ca="1">COUNT(Known_ys_PN010048)</f>
        <v>17</v>
      </c>
      <c r="N2" s="13"/>
      <c r="O2" s="10" t="s">
        <v>5</v>
      </c>
      <c r="P2" s="10" t="s">
        <v>6</v>
      </c>
      <c r="Q2" s="10" t="s">
        <v>7</v>
      </c>
      <c r="R2" s="10" t="s">
        <v>8</v>
      </c>
      <c r="S2" s="10" t="s">
        <v>9</v>
      </c>
      <c r="T2" s="11" t="s">
        <v>20</v>
      </c>
      <c r="U2" s="10" t="s">
        <v>10</v>
      </c>
      <c r="V2" s="8" t="s">
        <v>11</v>
      </c>
      <c r="W2" s="8" t="s">
        <v>12</v>
      </c>
      <c r="X2" s="8" t="s">
        <v>13</v>
      </c>
    </row>
    <row r="3" spans="1:24" x14ac:dyDescent="0.35">
      <c r="A3" s="1">
        <v>41127</v>
      </c>
      <c r="B3" s="6">
        <v>0</v>
      </c>
      <c r="C3" s="6">
        <v>0</v>
      </c>
      <c r="D3" s="4">
        <f>(F3-1000000000)/1000000000*1000000</f>
        <v>-36</v>
      </c>
      <c r="E3" s="4"/>
      <c r="F3" s="2">
        <v>999964000</v>
      </c>
      <c r="G3" s="3">
        <f>290*1000000000/1000000</f>
        <v>290000</v>
      </c>
      <c r="H3" s="17">
        <f t="shared" ref="H3:H20" ca="1" si="0">_xlfn.FORECAST.LINEAR($C3,Known_ys_PN010048,Known_xs_PN010048)</f>
        <v>1000039508.3231485</v>
      </c>
      <c r="I3" s="17">
        <f t="shared" ref="I3:I20" ca="1" si="1">$H3-ABS(_xlfn.T.INV(0.025,df_PN010048))*(Syx_PN010048*SQRT(1+1/n_PN010048+($C3-XBar_PN010050)^2/SSx_PN010048))</f>
        <v>999718477.3276999</v>
      </c>
      <c r="J3" s="17">
        <f t="shared" ref="J3:J20" ca="1" si="2">$H3+ABS(_xlfn.T.INV(0.025,df_PN010048))*(Syx_PN010048*SQRT(1+1/n_PN010048+($C3-XBar_PN010050)^2/SSx_PN010048))</f>
        <v>1000360539.3185971</v>
      </c>
      <c r="K3" s="13"/>
      <c r="L3" s="14" t="s">
        <v>15</v>
      </c>
      <c r="M3" s="15" cm="1">
        <f t="array" aca="1" ref="M3" ca="1">n_PN010048-2</f>
        <v>15</v>
      </c>
      <c r="N3" s="13"/>
      <c r="O3" s="1">
        <v>42457</v>
      </c>
      <c r="P3" s="6">
        <v>0</v>
      </c>
      <c r="Q3" s="6">
        <v>0</v>
      </c>
      <c r="R3" s="4">
        <f>(T3-1000000000)/1000000000*1000000</f>
        <v>191.6</v>
      </c>
      <c r="S3" s="4"/>
      <c r="T3" s="6">
        <v>1000191600</v>
      </c>
      <c r="U3" s="3">
        <v>193000</v>
      </c>
      <c r="V3" s="17">
        <f t="shared" ref="V3:V16" ca="1" si="3">_xlfn.FORECAST.LINEAR($Q3,Known_ys_PN010050,Known_xs_PN010050)</f>
        <v>1000281527.79144</v>
      </c>
      <c r="W3" s="17" cm="1">
        <f t="array" aca="1" ref="W3" ca="1">$V3-ABS(_xlfn.T.INV(0.025,df_PN010050))*(Syx_PN010050*SQRT(1+1/n_PN010050+($Q3-XBar_PN010050)^2/SSx_PN010050))</f>
        <v>999998844.81235874</v>
      </c>
      <c r="X3" s="17" cm="1">
        <f t="array" aca="1" ref="X3" ca="1">$V3+ABS(_xlfn.T.INV(0.025,df_PN010050))*(Syx_PN010050*SQRT(1+1/n_PN010050+($Q3-XBar_PN010050)^2/SSx_PN010050))</f>
        <v>1000564210.7705213</v>
      </c>
    </row>
    <row r="4" spans="1:24" x14ac:dyDescent="0.35">
      <c r="A4" s="1">
        <v>41523</v>
      </c>
      <c r="B4" s="6">
        <f>A4-A3</f>
        <v>396</v>
      </c>
      <c r="C4" s="6">
        <f>SUM(B$4:B4)</f>
        <v>396</v>
      </c>
      <c r="D4" s="4">
        <f>(F4-1000000000)/1000000000*1000000</f>
        <v>-31</v>
      </c>
      <c r="E4" s="5">
        <f>D4-D3</f>
        <v>5</v>
      </c>
      <c r="F4" s="2">
        <v>999969000</v>
      </c>
      <c r="G4" s="3">
        <f>290*1000000000/1000000</f>
        <v>290000</v>
      </c>
      <c r="H4" s="17">
        <f t="shared" ca="1" si="0"/>
        <v>1000026222.0994786</v>
      </c>
      <c r="I4" s="17">
        <f t="shared" ca="1" si="1"/>
        <v>999713560.71064866</v>
      </c>
      <c r="J4" s="17">
        <f t="shared" ca="1" si="2"/>
        <v>1000338883.4883085</v>
      </c>
      <c r="K4" s="13"/>
      <c r="L4" s="14" t="s">
        <v>16</v>
      </c>
      <c r="M4" s="15">
        <f ca="1">AVERAGE(Known_xs_PN010048)</f>
        <v>2649.7647058823532</v>
      </c>
      <c r="N4" s="13"/>
      <c r="O4" s="1">
        <v>42983</v>
      </c>
      <c r="P4" s="6">
        <f t="shared" ref="P4:P10" si="4">O4-O3</f>
        <v>526</v>
      </c>
      <c r="Q4" s="6">
        <f>SUM(P$4:P4)</f>
        <v>526</v>
      </c>
      <c r="R4" s="4">
        <f>(T4-1000000000)/1000000000*1000000</f>
        <v>490.8</v>
      </c>
      <c r="S4" s="5">
        <f t="shared" ref="S4:S12" si="5">R4-R3</f>
        <v>299.20000000000005</v>
      </c>
      <c r="T4" s="6">
        <v>1000490800</v>
      </c>
      <c r="U4" s="3">
        <v>193000</v>
      </c>
      <c r="V4" s="17">
        <f t="shared" ca="1" si="3"/>
        <v>1000205045.2558075</v>
      </c>
      <c r="W4" s="17" cm="1">
        <f t="array" aca="1" ref="W4" ca="1">$V4-ABS(_xlfn.T.INV(0.025,df_PN010050))*(Syx_PN010050*SQRT(1+1/n_PN010050+($Q4-XBar_PN010050)^2/SSx_PN010050))</f>
        <v>999940085.63031864</v>
      </c>
      <c r="X4" s="17" cm="1">
        <f t="array" aca="1" ref="X4" ca="1">$V4+ABS(_xlfn.T.INV(0.025,df_PN010050))*(Syx_PN010050*SQRT(1+1/n_PN010050+($Q4-XBar_PN010050)^2/SSx_PN010050))</f>
        <v>1000470004.8812964</v>
      </c>
    </row>
    <row r="5" spans="1:24" x14ac:dyDescent="0.35">
      <c r="A5" s="1">
        <v>41948</v>
      </c>
      <c r="B5" s="6">
        <f t="shared" ref="B5:B15" si="6">A5-A4</f>
        <v>425</v>
      </c>
      <c r="C5" s="6">
        <f>SUM(B$4:B5)</f>
        <v>821</v>
      </c>
      <c r="D5" s="4">
        <f t="shared" ref="D5:D20" si="7">(F5-1000000000)/1000000000*1000000</f>
        <v>-15.5</v>
      </c>
      <c r="E5" s="5">
        <f t="shared" ref="E5:E15" si="8">D5-D4</f>
        <v>15.5</v>
      </c>
      <c r="F5" s="2">
        <v>999984500</v>
      </c>
      <c r="G5" s="3">
        <v>193000</v>
      </c>
      <c r="H5" s="17">
        <f t="shared" ca="1" si="0"/>
        <v>1000011962.8947823</v>
      </c>
      <c r="I5" s="17">
        <f t="shared" ca="1" si="1"/>
        <v>999706974.33292353</v>
      </c>
      <c r="J5" s="17">
        <f t="shared" ca="1" si="2"/>
        <v>1000316951.4566411</v>
      </c>
      <c r="K5" s="13"/>
      <c r="L5" s="14" t="s">
        <v>17</v>
      </c>
      <c r="M5" s="15">
        <f ca="1">STEYX(Known_ys_PN010048,Known_xs_PN010048)</f>
        <v>132053.80310596075</v>
      </c>
      <c r="N5" s="13"/>
      <c r="O5" s="1">
        <v>43391</v>
      </c>
      <c r="P5" s="6">
        <f t="shared" si="4"/>
        <v>408</v>
      </c>
      <c r="Q5" s="6">
        <f>SUM(P$4:P5)</f>
        <v>934</v>
      </c>
      <c r="R5" s="4">
        <f t="shared" ref="R5:R12" si="9">(T5-1000000000)/1000000000*1000000</f>
        <v>57</v>
      </c>
      <c r="S5" s="5">
        <f t="shared" si="5"/>
        <v>-433.8</v>
      </c>
      <c r="T5" s="6">
        <v>1000057000</v>
      </c>
      <c r="U5" s="3">
        <v>193000</v>
      </c>
      <c r="V5" s="17">
        <f t="shared" ca="1" si="3"/>
        <v>1000145720.3992711</v>
      </c>
      <c r="W5" s="17" cm="1">
        <f t="array" aca="1" ref="W5" ca="1">$V5-ABS(_xlfn.T.INV(0.025,df_PN010050))*(Syx_PN010050*SQRT(1+1/n_PN010050+($Q5-XBar_PN010050)^2/SSx_PN010050))</f>
        <v>999892445.80446374</v>
      </c>
      <c r="X5" s="17" cm="1">
        <f t="array" aca="1" ref="X5" ca="1">$V5+ABS(_xlfn.T.INV(0.025,df_PN010050))*(Syx_PN010050*SQRT(1+1/n_PN010050+($Q5-XBar_PN010050)^2/SSx_PN010050))</f>
        <v>1000398994.9940785</v>
      </c>
    </row>
    <row r="6" spans="1:24" x14ac:dyDescent="0.35">
      <c r="A6" s="1">
        <v>42864</v>
      </c>
      <c r="B6" s="6">
        <f t="shared" si="6"/>
        <v>916</v>
      </c>
      <c r="C6" s="6">
        <f>SUM(B$4:B6)</f>
        <v>1737</v>
      </c>
      <c r="D6" s="4">
        <f t="shared" si="7"/>
        <v>40</v>
      </c>
      <c r="E6" s="5">
        <f t="shared" si="8"/>
        <v>55.5</v>
      </c>
      <c r="F6" s="2">
        <v>1000040000</v>
      </c>
      <c r="G6" s="3">
        <v>193000</v>
      </c>
      <c r="H6" s="17">
        <f t="shared" ca="1" si="0"/>
        <v>999981230.11477816</v>
      </c>
      <c r="I6" s="17">
        <f t="shared" ca="1" si="1"/>
        <v>999687701.73448014</v>
      </c>
      <c r="J6" s="17">
        <f t="shared" ca="1" si="2"/>
        <v>1000274758.4950762</v>
      </c>
      <c r="K6" s="13"/>
      <c r="L6" s="14" t="s">
        <v>18</v>
      </c>
      <c r="M6" s="15">
        <f ca="1">DEVSQ(Known_xs_PN010048)</f>
        <v>29004967.05882353</v>
      </c>
      <c r="N6" s="13"/>
      <c r="O6" s="1">
        <v>43689</v>
      </c>
      <c r="P6" s="6">
        <f t="shared" si="4"/>
        <v>298</v>
      </c>
      <c r="Q6" s="6">
        <f>SUM(P$4:P6)</f>
        <v>1232</v>
      </c>
      <c r="R6" s="4">
        <f t="shared" si="9"/>
        <v>28</v>
      </c>
      <c r="S6" s="5">
        <f t="shared" si="5"/>
        <v>-29</v>
      </c>
      <c r="T6" s="6">
        <v>1000028000</v>
      </c>
      <c r="U6" s="3">
        <v>99000</v>
      </c>
      <c r="V6" s="17">
        <f t="shared" ca="1" si="3"/>
        <v>1000102389.9893501</v>
      </c>
      <c r="W6" s="17" cm="1">
        <f t="array" aca="1" ref="W6" ca="1">$V6-ABS(_xlfn.T.INV(0.025,df_PN010050))*(Syx_PN010050*SQRT(1+1/n_PN010050+($Q6-XBar_PN010050)^2/SSx_PN010050))</f>
        <v>999856344.57138801</v>
      </c>
      <c r="X6" s="17" cm="1">
        <f t="array" aca="1" ref="X6" ca="1">$V6+ABS(_xlfn.T.INV(0.025,df_PN010050))*(Syx_PN010050*SQRT(1+1/n_PN010050+($Q6-XBar_PN010050)^2/SSx_PN010050))</f>
        <v>1000348435.4073122</v>
      </c>
    </row>
    <row r="7" spans="1:24" x14ac:dyDescent="0.35">
      <c r="A7" s="1">
        <v>43193</v>
      </c>
      <c r="B7" s="6">
        <f t="shared" si="6"/>
        <v>329</v>
      </c>
      <c r="C7" s="6">
        <f>SUM(B$4:B7)</f>
        <v>2066</v>
      </c>
      <c r="D7" s="4">
        <f t="shared" si="7"/>
        <v>37</v>
      </c>
      <c r="E7" s="5">
        <f t="shared" si="8"/>
        <v>-3</v>
      </c>
      <c r="F7" s="2">
        <v>1000037000</v>
      </c>
      <c r="G7" s="3">
        <v>193000</v>
      </c>
      <c r="H7" s="17">
        <f t="shared" ca="1" si="0"/>
        <v>999970191.81278968</v>
      </c>
      <c r="I7" s="17">
        <f t="shared" ca="1" si="1"/>
        <v>999678963.2072295</v>
      </c>
      <c r="J7" s="17">
        <f t="shared" ca="1" si="2"/>
        <v>1000261420.4183499</v>
      </c>
      <c r="K7" s="13"/>
      <c r="L7" s="13"/>
      <c r="M7" s="13"/>
      <c r="N7" s="13"/>
      <c r="O7" s="1">
        <v>43836</v>
      </c>
      <c r="P7" s="6">
        <f t="shared" si="4"/>
        <v>147</v>
      </c>
      <c r="Q7" s="6">
        <f>SUM(P$4:P7)</f>
        <v>1379</v>
      </c>
      <c r="R7" s="4">
        <f t="shared" si="9"/>
        <v>35</v>
      </c>
      <c r="S7" s="5">
        <f t="shared" si="5"/>
        <v>7</v>
      </c>
      <c r="T7" s="6">
        <v>1000035000</v>
      </c>
      <c r="U7" s="3">
        <v>99000</v>
      </c>
      <c r="V7" s="17">
        <f t="shared" ca="1" si="3"/>
        <v>1000081015.5925099</v>
      </c>
      <c r="W7" s="17" cm="1">
        <f t="array" aca="1" ref="W7" ca="1">$V7-ABS(_xlfn.T.INV(0.025,df_PN010050))*(Syx_PN010050*SQRT(1+1/n_PN010050+($Q7-XBar_PN010050)^2/SSx_PN010050))</f>
        <v>999838094.60518217</v>
      </c>
      <c r="X7" s="17" cm="1">
        <f t="array" aca="1" ref="X7" ca="1">$V7+ABS(_xlfn.T.INV(0.025,df_PN010050))*(Syx_PN010050*SQRT(1+1/n_PN010050+($Q7-XBar_PN010050)^2/SSx_PN010050))</f>
        <v>1000323936.5798376</v>
      </c>
    </row>
    <row r="8" spans="1:24" ht="12" x14ac:dyDescent="0.35">
      <c r="A8" s="18">
        <v>43594</v>
      </c>
      <c r="B8" s="19">
        <f t="shared" si="6"/>
        <v>401</v>
      </c>
      <c r="C8" s="19">
        <f>SUM(B$4:B8)</f>
        <v>2467</v>
      </c>
      <c r="D8" s="4">
        <f t="shared" si="7"/>
        <v>-391</v>
      </c>
      <c r="E8" s="20">
        <f t="shared" si="8"/>
        <v>-428</v>
      </c>
      <c r="F8" s="21">
        <v>999609000</v>
      </c>
      <c r="G8" s="22">
        <f>0.000077*1000000000</f>
        <v>77000</v>
      </c>
      <c r="H8" s="20">
        <f t="shared" ca="1" si="0"/>
        <v>999956737.83377039</v>
      </c>
      <c r="I8" s="20">
        <f t="shared" ca="1" si="1"/>
        <v>999666954.22705054</v>
      </c>
      <c r="J8" s="20">
        <f t="shared" ca="1" si="2"/>
        <v>1000246521.4404902</v>
      </c>
      <c r="K8" s="13"/>
      <c r="L8" s="24" t="s">
        <v>19</v>
      </c>
      <c r="M8" s="24"/>
      <c r="N8" s="13"/>
      <c r="O8" s="1">
        <v>44176</v>
      </c>
      <c r="P8" s="6">
        <f t="shared" si="4"/>
        <v>340</v>
      </c>
      <c r="Q8" s="6">
        <f>SUM(P$4:P8)</f>
        <v>1719</v>
      </c>
      <c r="R8" s="4">
        <f t="shared" si="9"/>
        <v>-31</v>
      </c>
      <c r="S8" s="5">
        <f t="shared" si="5"/>
        <v>-66</v>
      </c>
      <c r="T8" s="2">
        <v>999969000</v>
      </c>
      <c r="U8" s="3">
        <v>99000</v>
      </c>
      <c r="V8" s="17">
        <f t="shared" ca="1" si="3"/>
        <v>1000031578.212063</v>
      </c>
      <c r="W8" s="17" cm="1">
        <f t="array" aca="1" ref="W8" ca="1">$V8-ABS(_xlfn.T.INV(0.025,df_PN010050))*(Syx_PN010050*SQRT(1+1/n_PN010050+($Q8-XBar_PN010050)^2/SSx_PN010050))</f>
        <v>999794687.6859175</v>
      </c>
      <c r="X8" s="17" cm="1">
        <f t="array" aca="1" ref="X8" ca="1">$V8+ABS(_xlfn.T.INV(0.025,df_PN010050))*(Syx_PN010050*SQRT(1+1/n_PN010050+($Q8-XBar_PN010050)^2/SSx_PN010050))</f>
        <v>1000268468.7382084</v>
      </c>
    </row>
    <row r="9" spans="1:24" x14ac:dyDescent="0.35">
      <c r="A9" s="1">
        <v>43605</v>
      </c>
      <c r="B9" s="6">
        <f t="shared" si="6"/>
        <v>11</v>
      </c>
      <c r="C9" s="6">
        <f>SUM(B$4:B9)</f>
        <v>2478</v>
      </c>
      <c r="D9" s="4">
        <f t="shared" si="7"/>
        <v>96</v>
      </c>
      <c r="E9" s="5">
        <f t="shared" si="8"/>
        <v>487</v>
      </c>
      <c r="F9" s="2">
        <v>1000096000</v>
      </c>
      <c r="G9" s="3">
        <f>0.000077*1000000000</f>
        <v>77000</v>
      </c>
      <c r="H9" s="17">
        <f t="shared" ca="1" si="0"/>
        <v>999956368.77200186</v>
      </c>
      <c r="I9" s="17">
        <f t="shared" ca="1" si="1"/>
        <v>999666603.54481542</v>
      </c>
      <c r="J9" s="17">
        <f t="shared" ca="1" si="2"/>
        <v>1000246133.9991883</v>
      </c>
      <c r="K9" s="13"/>
      <c r="L9" s="14" t="s">
        <v>14</v>
      </c>
      <c r="M9" s="15">
        <f ca="1">COUNT(Known_ys_PN010050)</f>
        <v>13</v>
      </c>
      <c r="N9" s="13"/>
      <c r="O9" s="1">
        <v>44441</v>
      </c>
      <c r="P9" s="6">
        <f t="shared" si="4"/>
        <v>265</v>
      </c>
      <c r="Q9" s="6">
        <f>SUM(P$4:P9)</f>
        <v>1984</v>
      </c>
      <c r="R9" s="4">
        <f t="shared" si="9"/>
        <v>21</v>
      </c>
      <c r="S9" s="5">
        <f t="shared" si="5"/>
        <v>52</v>
      </c>
      <c r="T9" s="6">
        <v>1000021000</v>
      </c>
      <c r="U9" s="3">
        <v>99000</v>
      </c>
      <c r="V9" s="17">
        <f t="shared" ca="1" si="3"/>
        <v>999993046.1361264</v>
      </c>
      <c r="W9" s="17" cm="1">
        <f t="array" aca="1" ref="W9" ca="1">$V9-ABS(_xlfn.T.INV(0.025,df_PN010050))*(Syx_PN010050*SQRT(1+1/n_PN010050+($Q9-XBar_PN010050)^2/SSx_PN010050))</f>
        <v>999759633.07111669</v>
      </c>
      <c r="X9" s="17" cm="1">
        <f t="array" aca="1" ref="X9" ca="1">$V9+ABS(_xlfn.T.INV(0.025,df_PN010050))*(Syx_PN010050*SQRT(1+1/n_PN010050+($Q9-XBar_PN010050)^2/SSx_PN010050))</f>
        <v>1000226459.2011361</v>
      </c>
    </row>
    <row r="10" spans="1:24" x14ac:dyDescent="0.35">
      <c r="A10" s="1">
        <v>43712</v>
      </c>
      <c r="B10" s="6">
        <f t="shared" si="6"/>
        <v>107</v>
      </c>
      <c r="C10" s="6">
        <f>SUM(B$4:B10)</f>
        <v>2585</v>
      </c>
      <c r="D10" s="4">
        <f t="shared" si="7"/>
        <v>42</v>
      </c>
      <c r="E10" s="5">
        <f t="shared" si="8"/>
        <v>-54</v>
      </c>
      <c r="F10" s="2">
        <v>1000042000</v>
      </c>
      <c r="G10" s="3">
        <f t="shared" ref="G10:G20" si="10">0.000077*1000000000</f>
        <v>77000</v>
      </c>
      <c r="H10" s="17">
        <f t="shared" ca="1" si="0"/>
        <v>999952778.8075254</v>
      </c>
      <c r="I10" s="17">
        <f t="shared" ca="1" si="1"/>
        <v>999663132.88616323</v>
      </c>
      <c r="J10" s="17">
        <f t="shared" ca="1" si="2"/>
        <v>1000242424.7288876</v>
      </c>
      <c r="K10" s="13"/>
      <c r="L10" s="14" t="s">
        <v>15</v>
      </c>
      <c r="M10" s="15" cm="1">
        <f t="array" aca="1" ref="M10" ca="1">n_PN010050-2</f>
        <v>11</v>
      </c>
      <c r="N10" s="13"/>
      <c r="O10" s="1">
        <v>44622</v>
      </c>
      <c r="P10" s="6">
        <f t="shared" si="4"/>
        <v>181</v>
      </c>
      <c r="Q10" s="6">
        <f>SUM(P$4:P10)</f>
        <v>2165</v>
      </c>
      <c r="R10" s="4">
        <f t="shared" si="9"/>
        <v>-31</v>
      </c>
      <c r="S10" s="5">
        <f t="shared" si="5"/>
        <v>-52</v>
      </c>
      <c r="T10" s="2">
        <v>999969000</v>
      </c>
      <c r="U10" s="3">
        <v>77000</v>
      </c>
      <c r="V10" s="17">
        <f t="shared" ca="1" si="3"/>
        <v>999966728.00124145</v>
      </c>
      <c r="W10" s="17" cm="1">
        <f t="array" aca="1" ref="W10" ca="1">$V10-ABS(_xlfn.T.INV(0.025,df_PN010050))*(Syx_PN010050*SQRT(1+1/n_PN010050+($Q10-XBar_PN010050)^2/SSx_PN010050))</f>
        <v>999735045.75710177</v>
      </c>
      <c r="X10" s="17" cm="1">
        <f t="array" aca="1" ref="X10" ca="1">$V10+ABS(_xlfn.T.INV(0.025,df_PN010050))*(Syx_PN010050*SQRT(1+1/n_PN010050+($Q10-XBar_PN010050)^2/SSx_PN010050))</f>
        <v>1000198410.2453811</v>
      </c>
    </row>
    <row r="11" spans="1:24" x14ac:dyDescent="0.35">
      <c r="A11" s="1">
        <v>43742</v>
      </c>
      <c r="B11" s="6">
        <f t="shared" si="6"/>
        <v>30</v>
      </c>
      <c r="C11" s="6">
        <f>SUM(B$4:B11)</f>
        <v>2615</v>
      </c>
      <c r="D11" s="4">
        <f t="shared" si="7"/>
        <v>48</v>
      </c>
      <c r="E11" s="5">
        <f t="shared" si="8"/>
        <v>6</v>
      </c>
      <c r="F11" s="2">
        <v>1000048000</v>
      </c>
      <c r="G11" s="3">
        <f t="shared" si="10"/>
        <v>77000</v>
      </c>
      <c r="H11" s="17">
        <f t="shared" ca="1" si="0"/>
        <v>999951772.27542913</v>
      </c>
      <c r="I11" s="17">
        <f t="shared" ca="1" si="1"/>
        <v>999662140.43285918</v>
      </c>
      <c r="J11" s="17">
        <f t="shared" ca="1" si="2"/>
        <v>1000241404.1179991</v>
      </c>
      <c r="K11" s="13"/>
      <c r="L11" s="14" t="s">
        <v>16</v>
      </c>
      <c r="M11" s="15">
        <f ca="1">AVERAGE(Known_xs_PN010050)</f>
        <v>1873.5384615384614</v>
      </c>
      <c r="N11" s="13"/>
      <c r="O11" s="1">
        <v>44868</v>
      </c>
      <c r="P11" s="6">
        <f t="shared" ref="P11:P12" si="11">O11-O10</f>
        <v>246</v>
      </c>
      <c r="Q11" s="6">
        <f>SUM(P$4:P11)</f>
        <v>2411</v>
      </c>
      <c r="R11" s="4">
        <f t="shared" si="9"/>
        <v>-78</v>
      </c>
      <c r="S11" s="5">
        <f t="shared" si="5"/>
        <v>-47</v>
      </c>
      <c r="T11" s="6">
        <v>999922000</v>
      </c>
      <c r="U11" s="3">
        <v>77000</v>
      </c>
      <c r="V11" s="17">
        <f t="shared" ca="1" si="3"/>
        <v>999930958.60244751</v>
      </c>
      <c r="W11" s="17" cm="1">
        <f t="array" aca="1" ref="W11" ca="1">$V11-ABS(_xlfn.T.INV(0.025,df_PN010050))*(Syx_PN010050*SQRT(1+1/n_PN010050+($Q11-XBar_PN010050)^2/SSx_PN010050))</f>
        <v>999700766.01014853</v>
      </c>
      <c r="X11" s="17" cm="1">
        <f t="array" aca="1" ref="X11" ca="1">$V11+ABS(_xlfn.T.INV(0.025,df_PN010050))*(Syx_PN010050*SQRT(1+1/n_PN010050+($Q11-XBar_PN010050)^2/SSx_PN010050))</f>
        <v>1000161151.1947465</v>
      </c>
    </row>
    <row r="12" spans="1:24" x14ac:dyDescent="0.35">
      <c r="A12" s="1">
        <v>43754</v>
      </c>
      <c r="B12" s="6">
        <f t="shared" si="6"/>
        <v>12</v>
      </c>
      <c r="C12" s="6">
        <f>SUM(B$4:B12)</f>
        <v>2627</v>
      </c>
      <c r="D12" s="4">
        <f t="shared" si="7"/>
        <v>51</v>
      </c>
      <c r="E12" s="5">
        <f t="shared" si="8"/>
        <v>3</v>
      </c>
      <c r="F12" s="2">
        <v>1000051000</v>
      </c>
      <c r="G12" s="3">
        <f t="shared" si="10"/>
        <v>77000</v>
      </c>
      <c r="H12" s="17">
        <f t="shared" ca="1" si="0"/>
        <v>999951369.66259062</v>
      </c>
      <c r="I12" s="17">
        <f t="shared" ca="1" si="1"/>
        <v>999661741.07521462</v>
      </c>
      <c r="J12" s="17">
        <f t="shared" ca="1" si="2"/>
        <v>1000240998.2499666</v>
      </c>
      <c r="K12" s="13"/>
      <c r="L12" s="14" t="s">
        <v>17</v>
      </c>
      <c r="M12" s="15">
        <f ca="1">STEYX(Known_ys_PN010050,Known_xs_PN010050)</f>
        <v>100571.96078486757</v>
      </c>
      <c r="N12" s="13"/>
      <c r="O12" s="1">
        <v>45098</v>
      </c>
      <c r="P12" s="6">
        <f t="shared" si="11"/>
        <v>230</v>
      </c>
      <c r="Q12" s="6">
        <f>SUM(P$4:P12)</f>
        <v>2641</v>
      </c>
      <c r="R12" s="4">
        <f t="shared" si="9"/>
        <v>-90</v>
      </c>
      <c r="S12" s="5">
        <f t="shared" si="5"/>
        <v>-12</v>
      </c>
      <c r="T12" s="6">
        <v>999910000</v>
      </c>
      <c r="U12" s="3">
        <v>77000</v>
      </c>
      <c r="V12" s="17">
        <f t="shared" ca="1" si="3"/>
        <v>999897515.6686157</v>
      </c>
      <c r="W12" s="17" cm="1">
        <f t="array" aca="1" ref="W12" ca="1">$V12-ABS(_xlfn.T.INV(0.025,df_PN010050))*(Syx_PN010050*SQRT(1+1/n_PN010050+($Q12-XBar_PN010050)^2/SSx_PN010050))</f>
        <v>999667801.59921873</v>
      </c>
      <c r="X12" s="17" cm="1">
        <f t="array" aca="1" ref="X12" ca="1">$V12+ABS(_xlfn.T.INV(0.025,df_PN010050))*(Syx_PN010050*SQRT(1+1/n_PN010050+($Q12-XBar_PN010050)^2/SSx_PN010050))</f>
        <v>1000127229.7380127</v>
      </c>
    </row>
    <row r="13" spans="1:24" x14ac:dyDescent="0.35">
      <c r="A13" s="1">
        <v>44323</v>
      </c>
      <c r="B13" s="6">
        <f t="shared" si="6"/>
        <v>569</v>
      </c>
      <c r="C13" s="6">
        <f>SUM(B$4:B13)</f>
        <v>3196</v>
      </c>
      <c r="D13" s="4">
        <f t="shared" si="7"/>
        <v>59</v>
      </c>
      <c r="E13" s="5">
        <f t="shared" si="8"/>
        <v>8</v>
      </c>
      <c r="F13" s="2">
        <v>1000059000</v>
      </c>
      <c r="G13" s="3">
        <f>0.000099*1000000000</f>
        <v>99000</v>
      </c>
      <c r="H13" s="17">
        <f t="shared" ca="1" si="0"/>
        <v>999932279.1038326</v>
      </c>
      <c r="I13" s="17">
        <f t="shared" ca="1" si="1"/>
        <v>999641249.4345994</v>
      </c>
      <c r="J13" s="17">
        <f t="shared" ca="1" si="2"/>
        <v>1000223308.7730658</v>
      </c>
      <c r="K13" s="13"/>
      <c r="L13" s="14" t="s">
        <v>18</v>
      </c>
      <c r="M13" s="15">
        <f ca="1">DEVSQ(Known_xs_PN010050)</f>
        <v>12675651.230769232</v>
      </c>
      <c r="N13" s="13"/>
      <c r="O13" s="1">
        <v>45319</v>
      </c>
      <c r="P13" s="6">
        <f t="shared" ref="P13" si="12">O13-O12</f>
        <v>221</v>
      </c>
      <c r="Q13" s="6">
        <f>SUM(P$4:P13)</f>
        <v>2862</v>
      </c>
      <c r="R13" s="4">
        <f t="shared" ref="R13" si="13">(T13-1000000000)/1000000000*1000000</f>
        <v>-105</v>
      </c>
      <c r="S13" s="5">
        <f t="shared" ref="S13" si="14">R13-R12</f>
        <v>-15</v>
      </c>
      <c r="T13" s="6">
        <v>999895000</v>
      </c>
      <c r="U13" s="3">
        <v>77000</v>
      </c>
      <c r="V13" s="17">
        <f t="shared" ca="1" si="3"/>
        <v>999865381.37132525</v>
      </c>
      <c r="W13" s="17" cm="1">
        <f t="array" aca="1" ref="W13" ca="1">$V13-ABS(_xlfn.T.INV(0.025,df_PN010050))*(Syx_PN010050*SQRT(1+1/n_PN010050+($Q13-XBar_PN010050)^2/SSx_PN010050))</f>
        <v>999635289.26267684</v>
      </c>
      <c r="X13" s="17" cm="1">
        <f t="array" aca="1" ref="X13" ca="1">$V13+ABS(_xlfn.T.INV(0.025,df_PN010050))*(Syx_PN010050*SQRT(1+1/n_PN010050+($Q13-XBar_PN010050)^2/SSx_PN010050))</f>
        <v>1000095473.4799737</v>
      </c>
    </row>
    <row r="14" spans="1:24" x14ac:dyDescent="0.35">
      <c r="A14" s="1">
        <v>44622</v>
      </c>
      <c r="B14" s="6">
        <f t="shared" si="6"/>
        <v>299</v>
      </c>
      <c r="C14" s="6">
        <f>SUM(B$4:B14)</f>
        <v>3495</v>
      </c>
      <c r="D14" s="4">
        <f t="shared" si="7"/>
        <v>-113</v>
      </c>
      <c r="E14" s="5">
        <f t="shared" si="8"/>
        <v>-172</v>
      </c>
      <c r="F14" s="2">
        <v>999887000</v>
      </c>
      <c r="G14" s="3">
        <f t="shared" si="10"/>
        <v>77000</v>
      </c>
      <c r="H14" s="17">
        <f t="shared" ca="1" si="0"/>
        <v>999922247.33394039</v>
      </c>
      <c r="I14" s="17">
        <f t="shared" ca="1" si="1"/>
        <v>999629271.82042968</v>
      </c>
      <c r="J14" s="17">
        <f t="shared" ca="1" si="2"/>
        <v>1000215222.8474511</v>
      </c>
      <c r="K14" s="13"/>
      <c r="L14" s="16"/>
      <c r="M14" s="16"/>
      <c r="N14" s="13"/>
      <c r="O14" s="1">
        <v>45572</v>
      </c>
      <c r="P14" s="6">
        <f t="shared" ref="P14:P15" si="15">O14-O13</f>
        <v>253</v>
      </c>
      <c r="Q14" s="6">
        <f>SUM(P$4:P14)</f>
        <v>3115</v>
      </c>
      <c r="R14" s="4">
        <f t="shared" ref="R14:R15" si="16">(T14-1000000000)/1000000000*1000000</f>
        <v>-158</v>
      </c>
      <c r="S14" s="5">
        <f t="shared" ref="S14:S15" si="17">R14-R13</f>
        <v>-53</v>
      </c>
      <c r="T14" s="6">
        <v>999842000</v>
      </c>
      <c r="U14" s="3">
        <v>77000</v>
      </c>
      <c r="V14" s="17">
        <f t="shared" ca="1" si="3"/>
        <v>999828594.14411032</v>
      </c>
      <c r="W14" s="17" cm="1">
        <f t="array" aca="1" ref="W14" ca="1">$V14-ABS(_xlfn.T.INV(0.025,df_PN010050))*(Syx_PN010050*SQRT(1+1/n_PN010050+($Q14-XBar_PN010050)^2/SSx_PN010050))</f>
        <v>999597066.72919679</v>
      </c>
      <c r="X14" s="17" cm="1">
        <f t="array" aca="1" ref="X14" ca="1">$V14+ABS(_xlfn.T.INV(0.025,df_PN010050))*(Syx_PN010050*SQRT(1+1/n_PN010050+($Q14-XBar_PN010050)^2/SSx_PN010050))</f>
        <v>1000060121.5590239</v>
      </c>
    </row>
    <row r="15" spans="1:24" x14ac:dyDescent="0.35">
      <c r="A15" s="1">
        <v>44776</v>
      </c>
      <c r="B15" s="6">
        <f t="shared" si="6"/>
        <v>154</v>
      </c>
      <c r="C15" s="6">
        <f>SUM(B$4:B15)</f>
        <v>3649</v>
      </c>
      <c r="D15" s="4">
        <f t="shared" si="7"/>
        <v>19</v>
      </c>
      <c r="E15" s="5">
        <f t="shared" si="8"/>
        <v>132</v>
      </c>
      <c r="F15" s="2">
        <v>1000019000</v>
      </c>
      <c r="G15" s="3">
        <f t="shared" si="10"/>
        <v>77000</v>
      </c>
      <c r="H15" s="17">
        <f t="shared" ca="1" si="0"/>
        <v>999917080.46917987</v>
      </c>
      <c r="I15" s="17">
        <f t="shared" ca="1" si="1"/>
        <v>999622783.86496532</v>
      </c>
      <c r="J15" s="17">
        <f t="shared" ca="1" si="2"/>
        <v>1000211377.0733944</v>
      </c>
      <c r="K15" s="3"/>
      <c r="L15" s="3"/>
      <c r="O15" s="1">
        <v>45845</v>
      </c>
      <c r="P15" s="6">
        <f t="shared" si="15"/>
        <v>273</v>
      </c>
      <c r="Q15" s="6">
        <f>SUM(P$4:P15)</f>
        <v>3388</v>
      </c>
      <c r="R15" s="4">
        <f t="shared" si="16"/>
        <v>-212</v>
      </c>
      <c r="S15" s="5">
        <f t="shared" si="17"/>
        <v>-54</v>
      </c>
      <c r="T15" s="6">
        <v>999788000</v>
      </c>
      <c r="U15" s="3">
        <v>77000</v>
      </c>
      <c r="V15" s="17">
        <f t="shared" ca="1" si="3"/>
        <v>999788898.83569276</v>
      </c>
      <c r="W15" s="17" cm="1">
        <f t="array" aca="1" ref="W15" ca="1">$V15-ABS(_xlfn.T.INV(0.025,df_PN010050))*(Syx_PN010050*SQRT(1+1/n_PN010050+($Q15-XBar_PN010050)^2/SSx_PN010050))</f>
        <v>999554644.74394119</v>
      </c>
      <c r="X15" s="17" cm="1">
        <f t="array" aca="1" ref="X15" ca="1">$V15+ABS(_xlfn.T.INV(0.025,df_PN010050))*(Syx_PN010050*SQRT(1+1/n_PN010050+($Q15-XBar_PN010050)^2/SSx_PN010050))</f>
        <v>1000023152.9274443</v>
      </c>
    </row>
    <row r="16" spans="1:24" x14ac:dyDescent="0.35">
      <c r="A16" s="1">
        <v>44968</v>
      </c>
      <c r="B16" s="6">
        <f t="shared" ref="B16" si="18">A16-A15</f>
        <v>192</v>
      </c>
      <c r="C16" s="6">
        <f>SUM(B$4:B16)</f>
        <v>3841</v>
      </c>
      <c r="D16" s="4">
        <f t="shared" si="7"/>
        <v>13</v>
      </c>
      <c r="E16" s="5">
        <f t="shared" ref="E16" si="19">D16-D15</f>
        <v>-6</v>
      </c>
      <c r="F16" s="6">
        <v>1000013000</v>
      </c>
      <c r="G16" s="3">
        <f t="shared" si="10"/>
        <v>77000</v>
      </c>
      <c r="H16" s="17">
        <f t="shared" ca="1" si="0"/>
        <v>999910638.66376424</v>
      </c>
      <c r="I16" s="17">
        <f t="shared" ca="1" si="1"/>
        <v>999614396.83361995</v>
      </c>
      <c r="J16" s="17">
        <f t="shared" ca="1" si="2"/>
        <v>1000206880.4939085</v>
      </c>
      <c r="K16" s="3"/>
      <c r="L16" s="3"/>
      <c r="O16" s="1">
        <v>46143</v>
      </c>
      <c r="P16" s="6">
        <f t="shared" ref="P16" si="20">O16-O15</f>
        <v>298</v>
      </c>
      <c r="Q16" s="6">
        <f>SUM(P$4:P16)</f>
        <v>3686</v>
      </c>
      <c r="R16" s="4">
        <f t="shared" ref="R16" si="21">(T16-1000000000)/1000000000*1000000</f>
        <v>-84</v>
      </c>
      <c r="S16" s="5">
        <f t="shared" ref="S16" si="22">R16-R15</f>
        <v>128</v>
      </c>
      <c r="T16" s="6">
        <v>999916000</v>
      </c>
      <c r="U16" s="3">
        <v>77000</v>
      </c>
      <c r="V16" s="17">
        <f t="shared" ca="1" si="3"/>
        <v>999745568.42577159</v>
      </c>
      <c r="W16" s="17" cm="1">
        <f t="array" aca="1" ref="W16" ca="1">$V16-ABS(_xlfn.T.INV(0.025,df_PN010050))*(Syx_PN010050*SQRT(1+1/n_PN010050+($Q16-XBar_PN010050)^2/SSx_PN010050))</f>
        <v>999506991.22053003</v>
      </c>
      <c r="X16" s="17" cm="1">
        <f t="array" aca="1" ref="X16" ca="1">$V16+ABS(_xlfn.T.INV(0.025,df_PN010050))*(Syx_PN010050*SQRT(1+1/n_PN010050+($Q16-XBar_PN010050)^2/SSx_PN010050))</f>
        <v>999984145.63101315</v>
      </c>
    </row>
    <row r="17" spans="1:21" x14ac:dyDescent="0.35">
      <c r="A17" s="1">
        <v>45208</v>
      </c>
      <c r="B17" s="6">
        <f t="shared" ref="B17" si="23">A17-A16</f>
        <v>240</v>
      </c>
      <c r="C17" s="6">
        <f>SUM(B$4:B17)</f>
        <v>4081</v>
      </c>
      <c r="D17" s="4">
        <f t="shared" si="7"/>
        <v>-212</v>
      </c>
      <c r="E17" s="5">
        <f t="shared" ref="E17" si="24">D17-D16</f>
        <v>-225</v>
      </c>
      <c r="F17" s="6">
        <v>999788000</v>
      </c>
      <c r="G17" s="3">
        <f t="shared" si="10"/>
        <v>77000</v>
      </c>
      <c r="H17" s="17">
        <f t="shared" ca="1" si="0"/>
        <v>999902586.40699458</v>
      </c>
      <c r="I17" s="17">
        <f t="shared" ca="1" si="1"/>
        <v>999603457.13213336</v>
      </c>
      <c r="J17" s="17">
        <f t="shared" ca="1" si="2"/>
        <v>1000201715.6818558</v>
      </c>
      <c r="K17" s="3"/>
      <c r="L17" s="3"/>
      <c r="O17" s="1"/>
      <c r="P17" s="6"/>
      <c r="Q17" s="6"/>
      <c r="R17" s="4"/>
      <c r="S17" s="5"/>
      <c r="T17" s="7"/>
      <c r="U17" s="3"/>
    </row>
    <row r="18" spans="1:21" x14ac:dyDescent="0.35">
      <c r="A18" s="1">
        <v>45520</v>
      </c>
      <c r="B18" s="6">
        <f t="shared" ref="B18" si="25">A18-A17</f>
        <v>312</v>
      </c>
      <c r="C18" s="6">
        <f>SUM(B$4:B18)</f>
        <v>4393</v>
      </c>
      <c r="D18" s="4">
        <f t="shared" si="7"/>
        <v>-213.20000000000002</v>
      </c>
      <c r="E18" s="5">
        <f t="shared" ref="E18" si="26">D18-D17</f>
        <v>-1.2000000000000171</v>
      </c>
      <c r="F18" s="6">
        <v>999786800</v>
      </c>
      <c r="G18" s="3">
        <f t="shared" si="10"/>
        <v>77000</v>
      </c>
      <c r="H18" s="17">
        <f t="shared" ca="1" si="0"/>
        <v>999892118.473194</v>
      </c>
      <c r="I18" s="17">
        <f t="shared" ca="1" si="1"/>
        <v>999588501.01488376</v>
      </c>
      <c r="J18" s="17">
        <f t="shared" ca="1" si="2"/>
        <v>1000195735.9315042</v>
      </c>
      <c r="K18" s="3"/>
      <c r="L18" s="3"/>
      <c r="O18" s="1"/>
      <c r="P18" s="6"/>
      <c r="Q18" s="6"/>
      <c r="R18" s="4"/>
      <c r="S18" s="5"/>
      <c r="T18" s="7"/>
      <c r="U18" s="3"/>
    </row>
    <row r="19" spans="1:21" x14ac:dyDescent="0.35">
      <c r="A19" s="1">
        <v>45726</v>
      </c>
      <c r="B19" s="6">
        <f t="shared" ref="B19" si="27">A19-A18</f>
        <v>206</v>
      </c>
      <c r="C19" s="6">
        <f>SUM(B$4:B19)</f>
        <v>4599</v>
      </c>
      <c r="D19" s="4">
        <f t="shared" si="7"/>
        <v>-233</v>
      </c>
      <c r="E19" s="5">
        <f t="shared" ref="E19" si="28">D19-D18</f>
        <v>-19.799999999999983</v>
      </c>
      <c r="F19" s="6">
        <v>999767000</v>
      </c>
      <c r="G19" s="3">
        <f t="shared" si="10"/>
        <v>77000</v>
      </c>
      <c r="H19" s="17">
        <f t="shared" ca="1" si="0"/>
        <v>999885206.95280004</v>
      </c>
      <c r="I19" s="17">
        <f t="shared" ca="1" si="1"/>
        <v>999578187.1325258</v>
      </c>
      <c r="J19" s="17">
        <f t="shared" ca="1" si="2"/>
        <v>1000192226.7730743</v>
      </c>
      <c r="K19" s="3"/>
      <c r="L19" s="3"/>
      <c r="M19" s="3"/>
      <c r="O19" s="1"/>
      <c r="P19" s="6"/>
      <c r="Q19" s="6"/>
      <c r="R19" s="4"/>
      <c r="S19" s="5"/>
      <c r="T19" s="7"/>
      <c r="U19" s="3"/>
    </row>
    <row r="20" spans="1:21" x14ac:dyDescent="0.35">
      <c r="A20" s="1">
        <v>46008</v>
      </c>
      <c r="B20" s="6">
        <f t="shared" ref="B20" si="29">A20-A19</f>
        <v>282</v>
      </c>
      <c r="C20" s="6">
        <f>SUM(B$4:B20)</f>
        <v>4881</v>
      </c>
      <c r="D20" s="4">
        <f t="shared" si="7"/>
        <v>-73</v>
      </c>
      <c r="E20" s="5">
        <f t="shared" ref="E20" si="30">D20-D19</f>
        <v>160</v>
      </c>
      <c r="F20" s="6">
        <v>999927000</v>
      </c>
      <c r="G20" s="3">
        <f t="shared" si="10"/>
        <v>77000</v>
      </c>
      <c r="H20" s="17">
        <f t="shared" ca="1" si="0"/>
        <v>999875745.55109572</v>
      </c>
      <c r="I20" s="17">
        <f t="shared" ca="1" si="1"/>
        <v>999563525.82877254</v>
      </c>
      <c r="J20" s="17">
        <f t="shared" ca="1" si="2"/>
        <v>1000187965.2734189</v>
      </c>
      <c r="K20" s="3"/>
      <c r="L20" s="3"/>
      <c r="O20" s="1"/>
      <c r="P20" s="6"/>
      <c r="Q20" s="6"/>
      <c r="R20" s="4"/>
      <c r="S20" s="5"/>
      <c r="T20" s="7"/>
      <c r="U20" s="3"/>
    </row>
    <row r="21" spans="1:21" x14ac:dyDescent="0.35">
      <c r="B21" s="6"/>
    </row>
    <row r="22" spans="1:21" x14ac:dyDescent="0.35">
      <c r="B22" s="6"/>
    </row>
    <row r="23" spans="1:21" x14ac:dyDescent="0.35">
      <c r="B23" s="6"/>
    </row>
    <row r="24" spans="1:21" x14ac:dyDescent="0.35">
      <c r="B24" s="6"/>
    </row>
    <row r="25" spans="1:21" x14ac:dyDescent="0.35">
      <c r="B25" s="6"/>
    </row>
    <row r="26" spans="1:21" x14ac:dyDescent="0.35">
      <c r="B26" s="6"/>
    </row>
    <row r="27" spans="1:21" x14ac:dyDescent="0.35">
      <c r="B27" s="6"/>
    </row>
    <row r="1048575" spans="20:20" x14ac:dyDescent="0.35">
      <c r="T1048575" s="7"/>
    </row>
  </sheetData>
  <mergeCells count="4">
    <mergeCell ref="H1:J1"/>
    <mergeCell ref="V1:X1"/>
    <mergeCell ref="L1:M1"/>
    <mergeCell ref="L8:M8"/>
  </mergeCells>
  <pageMargins left="0.7" right="0.7" top="0.75" bottom="0.75" header="0.3" footer="0.3"/>
  <pageSetup orientation="portrait" r:id="rId1"/>
  <ignoredErrors>
    <ignoredError sqref="G13" formula="1"/>
  </ignoredError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l_x002e_Date xmlns="e9030caa-ab7d-4043-a723-846408bcfa62" xsi:nil="true"/>
    <CalProvider xmlns="e9030caa-ab7d-4043-a723-846408bcfa62" xsi:nil="true"/>
    <Adjusted_x003f_ xmlns="e9030caa-ab7d-4043-a723-846408bcfa62">false</Adjusted_x003f_>
    <ETEs xmlns="e9030caa-ab7d-4043-a723-846408bcfa6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235E799D978469D5A3DE19AC51D2D" ma:contentTypeVersion="10" ma:contentTypeDescription="Create a new document." ma:contentTypeScope="" ma:versionID="2f8dd52a4ebb9c349144a3bc151f6d14">
  <xsd:schema xmlns:xsd="http://www.w3.org/2001/XMLSchema" xmlns:xs="http://www.w3.org/2001/XMLSchema" xmlns:p="http://schemas.microsoft.com/office/2006/metadata/properties" xmlns:ns2="e9030caa-ab7d-4043-a723-846408bcfa62" targetNamespace="http://schemas.microsoft.com/office/2006/metadata/properties" ma:root="true" ma:fieldsID="ff1b3e1682df009e112d2ea2d6cd6fd8" ns2:_="">
    <xsd:import namespace="e9030caa-ab7d-4043-a723-846408bcfa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Adjusted_x003f_" minOccurs="0"/>
                <xsd:element ref="ns2:CalProvider" minOccurs="0"/>
                <xsd:element ref="ns2:Cal_x002e_Date" minOccurs="0"/>
                <xsd:element ref="ns2:ETE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30caa-ab7d-4043-a723-846408bcfa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djusted_x003f_" ma:index="13" nillable="true" ma:displayName="Adjusted?" ma:default="0" ma:description="Record of whether this unit been adjusted during this activity" ma:format="Dropdown" ma:internalName="Adjusted_x003f_">
      <xsd:simpleType>
        <xsd:restriction base="dms:Boolean"/>
      </xsd:simpleType>
    </xsd:element>
    <xsd:element name="CalProvider" ma:index="14" nillable="true" ma:displayName="Cal Provider" ma:description="Location of calibration" ma:format="Dropdown" ma:internalName="CalProvider">
      <xsd:simpleType>
        <xsd:restriction base="dms:Text">
          <xsd:maxLength value="255"/>
        </xsd:restriction>
      </xsd:simpleType>
    </xsd:element>
    <xsd:element name="Cal_x002e_Date" ma:index="15" nillable="true" ma:displayName="Cal. Date" ma:default="10/11/2023" ma:description="Date of Calibration" ma:format="DateOnly" ma:internalName="Cal_x002e_Date">
      <xsd:simpleType>
        <xsd:restriction base="dms:DateTime"/>
      </xsd:simpleType>
    </xsd:element>
    <xsd:element name="ETEs" ma:index="16" nillable="true" ma:displayName="ETEs" ma:decimals="0" ma:description="Set of ETEs being used" ma:format="Dropdown" ma:internalName="ETEs" ma:percentage="FALSE">
      <xsd:simpleType>
        <xsd:restriction base="dms:Number">
          <xsd:maxInclusive value="2"/>
          <xsd:minInclusive value="1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3114F4-F5DA-48A2-A9FA-9D0C3D8C88D1}">
  <ds:schemaRefs>
    <ds:schemaRef ds:uri="http://schemas.microsoft.com/office/2006/metadata/properties"/>
    <ds:schemaRef ds:uri="http://schemas.microsoft.com/office/infopath/2007/PartnerControls"/>
    <ds:schemaRef ds:uri="e9030caa-ab7d-4043-a723-846408bcfa62"/>
  </ds:schemaRefs>
</ds:datastoreItem>
</file>

<file path=customXml/itemProps2.xml><?xml version="1.0" encoding="utf-8"?>
<ds:datastoreItem xmlns:ds="http://schemas.openxmlformats.org/officeDocument/2006/customXml" ds:itemID="{3FC535C6-3474-4679-80CA-B639385380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06511D-FED5-4C75-8C55-7CE447A227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30caa-ab7d-4043-a723-846408bcfa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1G Ohm</vt:lpstr>
      <vt:lpstr>'1G Ohm'!df_PN010048</vt:lpstr>
      <vt:lpstr>df_PN010050</vt:lpstr>
      <vt:lpstr>n_PN010048</vt:lpstr>
      <vt:lpstr>n_PN010050</vt:lpstr>
      <vt:lpstr>'1G Ohm'!SSx_PN010048</vt:lpstr>
      <vt:lpstr>SSx_PN010050</vt:lpstr>
      <vt:lpstr>'1G Ohm'!Syx_PN010048</vt:lpstr>
      <vt:lpstr>Syx_PN010050</vt:lpstr>
      <vt:lpstr>'1G Ohm'!XBar_PN010050</vt:lpstr>
      <vt:lpstr>XBar_PN010050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Zi-Yang Ang</dc:creator>
  <cp:keywords/>
  <dc:description/>
  <cp:lastModifiedBy>Zi-Yang Ang</cp:lastModifiedBy>
  <cp:revision/>
  <dcterms:created xsi:type="dcterms:W3CDTF">2022-09-02T01:37:22Z</dcterms:created>
  <dcterms:modified xsi:type="dcterms:W3CDTF">2026-09-08T00:05:40Z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0x01010044B235E799D978469D5A3DE19AC51D2D</vt:lpwstr>
  </property>
</Properties>
</file>