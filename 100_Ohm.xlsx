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7F96B66B-61B3-4F26-8A82-A20F005697A8}" xr6:coauthVersionLast="47" xr6:coauthVersionMax="47" xr10:uidLastSave="{00000000-0000-0000-0000-000000000000}"/>
  <bookViews>
    <workbookView xWindow="-110" yWindow="-110" windowWidth="38620" windowHeight="21100" xr2:uid="{1C0881EA-9DEA-46D8-84B7-CBEB38A3E6C9}"/>
  </bookViews>
  <sheets>
    <sheet name="100 Ohm" sheetId="1" r:id="rId1"/>
  </sheets>
  <definedNames>
    <definedName name="df_PN010004">'100 Ohm'!$M$10</definedName>
    <definedName name="df_PN010005" localSheetId="0">'100 Ohm'!$M$3</definedName>
    <definedName name="Known_xs_PN010004">OFFSET('100 Ohm'!$Q$3,,,COUNTA('100 Ohm'!$Q:$Q)-3)</definedName>
    <definedName name="Known_xs_PN010005">OFFSET('100 Ohm'!$C$3,,,COUNTA('100 Ohm'!$C:$C)-3)</definedName>
    <definedName name="Known_ys_PN010004">OFFSET('100 Ohm'!$T$3,,,COUNTA('100 Ohm'!$T:$T)-2)</definedName>
    <definedName name="Known_ys_PN010005">OFFSET('100 Ohm'!$F$3,,,COUNTA('100 Ohm'!$F:$F)-2)</definedName>
    <definedName name="n_PN010001" localSheetId="0">'100 Ohm'!$M$2</definedName>
    <definedName name="n_PN010004" localSheetId="0">'100 Ohm'!$M$9</definedName>
    <definedName name="n_PN010005" localSheetId="0">'100 Ohm'!$M$2</definedName>
    <definedName name="PI_L_PN010004">OFFSET('100 Ohm'!$W$3,,,COUNTA('100 Ohm'!$W:$W)-1)</definedName>
    <definedName name="PI_L_PN010005">OFFSET('100 Ohm'!$I$3,,,COUNTA('100 Ohm'!$I:$I)-1)</definedName>
    <definedName name="PI_U_PN010004">OFFSET('100 Ohm'!$X$3,,,COUNTA('100 Ohm'!$X:$X)-1)</definedName>
    <definedName name="PI_U_PN010005">OFFSET('100 Ohm'!$J$3,,,COUNTA('100 Ohm'!$J:$J)-1)</definedName>
    <definedName name="Predicted_PN010004">OFFSET('100 Ohm'!$V$3,,,COUNTA('100 Ohm'!$V:$V)-2)</definedName>
    <definedName name="Predicted_PN010005">OFFSET('100 Ohm'!$H$3,,,COUNTA('100 Ohm'!$H:$H)-2)</definedName>
    <definedName name="SSx_PN010004">'100 Ohm'!$M$13</definedName>
    <definedName name="SSx_PN010005" localSheetId="0">'100 Ohm'!$M$6</definedName>
    <definedName name="Syx_PN010004">'100 Ohm'!$M$12</definedName>
    <definedName name="Syx_PN010005" localSheetId="0">'100 Ohm'!$M$5</definedName>
    <definedName name="XBar_PN010004">'100 Ohm'!$M$11</definedName>
    <definedName name="XBar_PN010005" localSheetId="0">'100 Ohm'!$M$4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S12" i="1" s="1"/>
  <c r="Q12" i="1"/>
  <c r="V12" i="1" s="1"/>
  <c r="P12" i="1"/>
  <c r="D12" i="1"/>
  <c r="E12" i="1" s="1"/>
  <c r="B12" i="1"/>
  <c r="C12" i="1" s="1"/>
  <c r="H12" i="1" s="1"/>
  <c r="R11" i="1"/>
  <c r="Q11" i="1"/>
  <c r="V11" i="1" s="1"/>
  <c r="P11" i="1"/>
  <c r="R10" i="1"/>
  <c r="S10" i="1" s="1"/>
  <c r="Q10" i="1"/>
  <c r="V10" i="1" s="1"/>
  <c r="P10" i="1"/>
  <c r="D11" i="1"/>
  <c r="E11" i="1" s="1"/>
  <c r="B11" i="1"/>
  <c r="C11" i="1" s="1"/>
  <c r="D10" i="1"/>
  <c r="E10" i="1" s="1"/>
  <c r="B10" i="1"/>
  <c r="C10" i="1" s="1"/>
  <c r="S9" i="1"/>
  <c r="R9" i="1"/>
  <c r="P9" i="1"/>
  <c r="Q9" i="1" s="1"/>
  <c r="R8" i="1"/>
  <c r="S8" i="1" s="1"/>
  <c r="Q8" i="1"/>
  <c r="P8" i="1"/>
  <c r="P7" i="1"/>
  <c r="M11" i="1" s="1"/>
  <c r="S7" i="1"/>
  <c r="R7" i="1"/>
  <c r="E9" i="1"/>
  <c r="C9" i="1"/>
  <c r="B9" i="1"/>
  <c r="D9" i="1"/>
  <c r="B8" i="1"/>
  <c r="C8" i="1" s="1"/>
  <c r="D8" i="1"/>
  <c r="E8" i="1" s="1"/>
  <c r="M9" i="1"/>
  <c r="M12" i="1" s="1"/>
  <c r="M2" i="1"/>
  <c r="D3" i="1"/>
  <c r="R3" i="1"/>
  <c r="B4" i="1"/>
  <c r="C4" i="1" s="1"/>
  <c r="D4" i="1"/>
  <c r="P4" i="1"/>
  <c r="Q4" i="1" s="1"/>
  <c r="R4" i="1"/>
  <c r="B5" i="1"/>
  <c r="D5" i="1"/>
  <c r="P5" i="1"/>
  <c r="R5" i="1"/>
  <c r="B6" i="1"/>
  <c r="D6" i="1"/>
  <c r="P6" i="1"/>
  <c r="R6" i="1"/>
  <c r="B7" i="1"/>
  <c r="D7" i="1"/>
  <c r="H11" i="1" l="1"/>
  <c r="S11" i="1"/>
  <c r="M13" i="1"/>
  <c r="H10" i="1"/>
  <c r="H9" i="1"/>
  <c r="H8" i="1"/>
  <c r="V8" i="1"/>
  <c r="V9" i="1"/>
  <c r="V7" i="1"/>
  <c r="Q7" i="1"/>
  <c r="H7" i="1"/>
  <c r="H6" i="1"/>
  <c r="H5" i="1"/>
  <c r="H4" i="1"/>
  <c r="H3" i="1"/>
  <c r="M4" i="1"/>
  <c r="M6" i="1"/>
  <c r="M3" i="1"/>
  <c r="E6" i="1"/>
  <c r="S6" i="1"/>
  <c r="Q6" i="1"/>
  <c r="C5" i="1"/>
  <c r="M5" i="1" s="1"/>
  <c r="C6" i="1"/>
  <c r="S5" i="1"/>
  <c r="E4" i="1"/>
  <c r="Q5" i="1"/>
  <c r="E5" i="1"/>
  <c r="E7" i="1"/>
  <c r="S4" i="1"/>
  <c r="C7" i="1"/>
  <c r="J12" i="1" l="1"/>
  <c r="I12" i="1"/>
  <c r="J11" i="1"/>
  <c r="I11" i="1"/>
  <c r="J10" i="1"/>
  <c r="I10" i="1"/>
  <c r="J9" i="1"/>
  <c r="V5" i="1"/>
  <c r="V3" i="1"/>
  <c r="V6" i="1"/>
  <c r="V4" i="1"/>
  <c r="I9" i="1"/>
  <c r="I8" i="1"/>
  <c r="J8" i="1"/>
  <c r="J4" i="1"/>
  <c r="J7" i="1"/>
  <c r="I5" i="1"/>
  <c r="J5" i="1"/>
  <c r="I3" i="1"/>
  <c r="I6" i="1"/>
  <c r="J6" i="1"/>
  <c r="I7" i="1"/>
  <c r="I4" i="1"/>
  <c r="J3" i="1"/>
  <c r="M10" i="1" l="1"/>
  <c r="X12" i="1" l="1"/>
  <c r="W12" i="1"/>
  <c r="X10" i="1"/>
  <c r="W10" i="1"/>
  <c r="X11" i="1"/>
  <c r="W11" i="1"/>
  <c r="X9" i="1"/>
  <c r="W9" i="1"/>
  <c r="X8" i="1"/>
  <c r="W8" i="1"/>
  <c r="X7" i="1"/>
  <c r="W7" i="1"/>
  <c r="X3" i="1"/>
  <c r="X6" i="1"/>
  <c r="X5" i="1"/>
  <c r="X4" i="1"/>
  <c r="W3" i="1"/>
  <c r="W5" i="1"/>
  <c r="W4" i="1"/>
  <c r="W6" i="1"/>
</calcChain>
</file>

<file path=xl/sharedStrings.xml><?xml version="1.0" encoding="utf-8"?>
<sst xmlns="http://schemas.openxmlformats.org/spreadsheetml/2006/main" count="38" uniqueCount="21">
  <si>
    <t>742A-100</t>
  </si>
  <si>
    <t>PN010005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</si>
  <si>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</si>
  <si>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PN010005</t>
    </r>
  </si>
  <si>
    <t>PN010004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</si>
  <si>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</si>
  <si>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</si>
  <si>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</si>
  <si>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</si>
  <si>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</si>
  <si>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</si>
  <si>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</si>
  <si>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</si>
  <si>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</si>
  <si>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</si>
  <si>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</si>
  <si>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</si>
  <si>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</si>
  <si>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</si>
  <si>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PN010004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</si>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</sst>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"/>
    <numFmt numFmtId="166" formatCode="0.000000"/>
  </numFmts>
  <fonts count="9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Calibri"/>
      <family val="2"/>
    </font>
    <font>
      <sz val="9"/>
      <color theme="1"/>
      <name val="Cambria"/>
      <family val="1"/>
    </font>
    <font>
      <b/>
      <sz val="9"/>
      <color theme="0"/>
      <name val="Arial"/>
      <family val="2"/>
    </font>
    <font>
      <sz val="9"/>
      <color rgb="FF59595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 vertical="center"/>
    </xf>
    <xf numFmtId="0" fontId="0" fillId="4" borderId="0" xfId="0" applyFill="1"/>
    <xf numFmtId="0" fontId="2" fillId="7" borderId="1" xfId="0" applyFont="1" applyFill="1" applyBorder="1" applyAlignment="1">
      <alignment horizontal="center" vertical="center"/>
    </xf>
    <xf numFmtId="11" fontId="8" fillId="0" borderId="0" xfId="0" applyNumberFormat="1" applyFont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166" fontId="1" fillId="8" borderId="0" xfId="0" applyNumberFormat="1" applyFont="1" applyFill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PN010005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'100 Ohm'!$C$3:$C$12</c:f>
              <c:numCache>
                <c:formatCode>0</c:formatCode>
                <c:ptCount val="10"/>
                <c:pt idx="0">
                  <c:v>0</c:v>
                </c:pt>
                <c:pt idx="1">
                  <c:v>144</c:v>
                </c:pt>
                <c:pt idx="2">
                  <c:v>636</c:v>
                </c:pt>
                <c:pt idx="3">
                  <c:v>864</c:v>
                </c:pt>
                <c:pt idx="4">
                  <c:v>1075</c:v>
                </c:pt>
                <c:pt idx="5">
                  <c:v>1282</c:v>
                </c:pt>
                <c:pt idx="6">
                  <c:v>1522</c:v>
                </c:pt>
                <c:pt idx="7">
                  <c:v>1833</c:v>
                </c:pt>
                <c:pt idx="8">
                  <c:v>2040</c:v>
                </c:pt>
                <c:pt idx="9">
                  <c:v>2322</c:v>
                </c:pt>
              </c:numCache>
            </c:numRef>
          </c:xVal>
          <c:yVal>
            <c:numRef>
              <c:f>'100 Ohm'!$F$3:$F$12</c:f>
              <c:numCache>
                <c:formatCode>0.000000</c:formatCode>
                <c:ptCount val="10"/>
                <c:pt idx="0">
                  <c:v>100.000049</c:v>
                </c:pt>
                <c:pt idx="1">
                  <c:v>100.000083</c:v>
                </c:pt>
                <c:pt idx="2">
                  <c:v>100.000134</c:v>
                </c:pt>
                <c:pt idx="3">
                  <c:v>100.000072</c:v>
                </c:pt>
                <c:pt idx="4">
                  <c:v>100.00014299999999</c:v>
                </c:pt>
                <c:pt idx="5">
                  <c:v>100.00017699999999</c:v>
                </c:pt>
                <c:pt idx="6">
                  <c:v>100.000186</c:v>
                </c:pt>
                <c:pt idx="7">
                  <c:v>100.00017800000001</c:v>
                </c:pt>
                <c:pt idx="8">
                  <c:v>100.00021</c:v>
                </c:pt>
                <c:pt idx="9">
                  <c:v>100.000241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C-41D9-9CF7-B2B3A8C39E6B}"/>
            </c:ext>
          </c:extLst>
        </c:ser>
        <c:ser>
          <c:idx val="1"/>
          <c:order val="1"/>
          <c:tx>
            <c:strRef>
              <c:f>'100 Ohm'!$H$2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 Ohm'!$C$3:$C$12</c:f>
              <c:numCache>
                <c:formatCode>0</c:formatCode>
                <c:ptCount val="10"/>
                <c:pt idx="0">
                  <c:v>0</c:v>
                </c:pt>
                <c:pt idx="1">
                  <c:v>144</c:v>
                </c:pt>
                <c:pt idx="2">
                  <c:v>636</c:v>
                </c:pt>
                <c:pt idx="3">
                  <c:v>864</c:v>
                </c:pt>
                <c:pt idx="4">
                  <c:v>1075</c:v>
                </c:pt>
                <c:pt idx="5">
                  <c:v>1282</c:v>
                </c:pt>
                <c:pt idx="6">
                  <c:v>1522</c:v>
                </c:pt>
                <c:pt idx="7">
                  <c:v>1833</c:v>
                </c:pt>
                <c:pt idx="8">
                  <c:v>2040</c:v>
                </c:pt>
                <c:pt idx="9">
                  <c:v>2322</c:v>
                </c:pt>
              </c:numCache>
            </c:numRef>
          </c:xVal>
          <c:yVal>
            <c:numRef>
              <c:f>'100 Ohm'!$H$3:$H$12</c:f>
              <c:numCache>
                <c:formatCode>0.000000</c:formatCode>
                <c:ptCount val="10"/>
                <c:pt idx="0">
                  <c:v>100.00006077532559</c:v>
                </c:pt>
                <c:pt idx="1">
                  <c:v>100.00007127374812</c:v>
                </c:pt>
                <c:pt idx="2">
                  <c:v>100.00010714335841</c:v>
                </c:pt>
                <c:pt idx="3">
                  <c:v>100.00012376586074</c:v>
                </c:pt>
                <c:pt idx="4">
                  <c:v>100.00013914896596</c:v>
                </c:pt>
                <c:pt idx="5">
                  <c:v>100.00015424044834</c:v>
                </c:pt>
                <c:pt idx="6">
                  <c:v>100.0001717378192</c:v>
                </c:pt>
                <c:pt idx="7">
                  <c:v>100.00019441149563</c:v>
                </c:pt>
                <c:pt idx="8">
                  <c:v>100.00020950297801</c:v>
                </c:pt>
                <c:pt idx="9">
                  <c:v>100.00023006238878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DC-41D9-9CF7-B2B3A8C39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tx>
            <c:v>Lower Bound</c:v>
          </c:tx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 Ohm'!$C$3:$C$12</c:f>
              <c:numCache>
                <c:formatCode>0</c:formatCode>
                <c:ptCount val="10"/>
                <c:pt idx="0">
                  <c:v>0</c:v>
                </c:pt>
                <c:pt idx="1">
                  <c:v>144</c:v>
                </c:pt>
                <c:pt idx="2">
                  <c:v>636</c:v>
                </c:pt>
                <c:pt idx="3">
                  <c:v>864</c:v>
                </c:pt>
                <c:pt idx="4">
                  <c:v>1075</c:v>
                </c:pt>
                <c:pt idx="5">
                  <c:v>1282</c:v>
                </c:pt>
                <c:pt idx="6">
                  <c:v>1522</c:v>
                </c:pt>
                <c:pt idx="7">
                  <c:v>1833</c:v>
                </c:pt>
                <c:pt idx="8">
                  <c:v>2040</c:v>
                </c:pt>
                <c:pt idx="9">
                  <c:v>2322</c:v>
                </c:pt>
              </c:numCache>
            </c:numRef>
          </c:xVal>
          <c:yVal>
            <c:numRef>
              <c:f>'100 Ohm'!$I$3:$I$12</c:f>
              <c:numCache>
                <c:formatCode>0.000000</c:formatCode>
                <c:ptCount val="10"/>
                <c:pt idx="0">
                  <c:v>99.999988833014697</c:v>
                </c:pt>
                <c:pt idx="1">
                  <c:v>100.0000011747279</c:v>
                </c:pt>
                <c:pt idx="2">
                  <c:v>100.00004147772832</c:v>
                </c:pt>
                <c:pt idx="3">
                  <c:v>100.00005906203363</c:v>
                </c:pt>
                <c:pt idx="4">
                  <c:v>100.00007467276554</c:v>
                </c:pt>
                <c:pt idx="5">
                  <c:v>100.00008936163364</c:v>
                </c:pt>
                <c:pt idx="6">
                  <c:v>100.00010563197883</c:v>
                </c:pt>
                <c:pt idx="7">
                  <c:v>100.000125574558</c:v>
                </c:pt>
                <c:pt idx="8">
                  <c:v>100.00013820002043</c:v>
                </c:pt>
                <c:pt idx="9">
                  <c:v>100.00015467082318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DC-41D9-9CF7-B2B3A8C39E6B}"/>
            </c:ext>
          </c:extLst>
        </c:ser>
        <c:ser>
          <c:idx val="3"/>
          <c:order val="3"/>
          <c:tx>
            <c:v>Upper Bound</c:v>
          </c:tx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 Ohm'!$C$3:$C$12</c:f>
              <c:numCache>
                <c:formatCode>0</c:formatCode>
                <c:ptCount val="10"/>
                <c:pt idx="0">
                  <c:v>0</c:v>
                </c:pt>
                <c:pt idx="1">
                  <c:v>144</c:v>
                </c:pt>
                <c:pt idx="2">
                  <c:v>636</c:v>
                </c:pt>
                <c:pt idx="3">
                  <c:v>864</c:v>
                </c:pt>
                <c:pt idx="4">
                  <c:v>1075</c:v>
                </c:pt>
                <c:pt idx="5">
                  <c:v>1282</c:v>
                </c:pt>
                <c:pt idx="6">
                  <c:v>1522</c:v>
                </c:pt>
                <c:pt idx="7">
                  <c:v>1833</c:v>
                </c:pt>
                <c:pt idx="8">
                  <c:v>2040</c:v>
                </c:pt>
                <c:pt idx="9">
                  <c:v>2322</c:v>
                </c:pt>
              </c:numCache>
            </c:numRef>
          </c:xVal>
          <c:yVal>
            <c:numRef>
              <c:f>'100 Ohm'!$J$3:$J$12</c:f>
              <c:numCache>
                <c:formatCode>0.000000</c:formatCode>
                <c:ptCount val="10"/>
                <c:pt idx="0">
                  <c:v>100.00013271763649</c:v>
                </c:pt>
                <c:pt idx="1">
                  <c:v>100.00014137276834</c:v>
                </c:pt>
                <c:pt idx="2">
                  <c:v>100.00017280898849</c:v>
                </c:pt>
                <c:pt idx="3">
                  <c:v>100.00018846968784</c:v>
                </c:pt>
                <c:pt idx="4">
                  <c:v>100.00020362516638</c:v>
                </c:pt>
                <c:pt idx="5">
                  <c:v>100.00021911926304</c:v>
                </c:pt>
                <c:pt idx="6">
                  <c:v>100.00023784365958</c:v>
                </c:pt>
                <c:pt idx="7">
                  <c:v>100.00026324843326</c:v>
                </c:pt>
                <c:pt idx="8">
                  <c:v>100.00028080593559</c:v>
                </c:pt>
                <c:pt idx="9">
                  <c:v>100.00030545395438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DC-41D9-9CF7-B2B3A8C39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PN010004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'100 Ohm'!$Q$3:$Q$12</c:f>
              <c:numCache>
                <c:formatCode>0</c:formatCode>
                <c:ptCount val="10"/>
                <c:pt idx="0">
                  <c:v>0</c:v>
                </c:pt>
                <c:pt idx="1">
                  <c:v>205</c:v>
                </c:pt>
                <c:pt idx="2">
                  <c:v>456</c:v>
                </c:pt>
                <c:pt idx="3">
                  <c:v>687</c:v>
                </c:pt>
                <c:pt idx="4">
                  <c:v>895</c:v>
                </c:pt>
                <c:pt idx="5">
                  <c:v>1127</c:v>
                </c:pt>
                <c:pt idx="6">
                  <c:v>1345</c:v>
                </c:pt>
                <c:pt idx="7">
                  <c:v>1602</c:v>
                </c:pt>
                <c:pt idx="8">
                  <c:v>1875</c:v>
                </c:pt>
                <c:pt idx="9">
                  <c:v>2173</c:v>
                </c:pt>
              </c:numCache>
            </c:numRef>
          </c:xVal>
          <c:yVal>
            <c:numRef>
              <c:f>'100 Ohm'!$T$3:$T$12</c:f>
              <c:numCache>
                <c:formatCode>0.000000</c:formatCode>
                <c:ptCount val="10"/>
                <c:pt idx="0">
                  <c:v>99.998755000000003</c:v>
                </c:pt>
                <c:pt idx="1">
                  <c:v>99.998738000000003</c:v>
                </c:pt>
                <c:pt idx="2">
                  <c:v>99.998666</c:v>
                </c:pt>
                <c:pt idx="3">
                  <c:v>99.998681000000005</c:v>
                </c:pt>
                <c:pt idx="4">
                  <c:v>99.998654000000002</c:v>
                </c:pt>
                <c:pt idx="5">
                  <c:v>99.998636000000005</c:v>
                </c:pt>
                <c:pt idx="6">
                  <c:v>99.998616999999996</c:v>
                </c:pt>
                <c:pt idx="7">
                  <c:v>99.998602000000005</c:v>
                </c:pt>
                <c:pt idx="8">
                  <c:v>99.998530000000002</c:v>
                </c:pt>
                <c:pt idx="9">
                  <c:v>99.998591000000005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2-4A9D-B366-C12F69AED9FF}"/>
            </c:ext>
          </c:extLst>
        </c:ser>
        <c:ser>
          <c:idx val="1"/>
          <c:order val="1"/>
          <c:tx>
            <c:strRef>
              <c:f>'100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 Ohm'!$Q$3:$Q$12</c:f>
              <c:numCache>
                <c:formatCode>0</c:formatCode>
                <c:ptCount val="10"/>
                <c:pt idx="0">
                  <c:v>0</c:v>
                </c:pt>
                <c:pt idx="1">
                  <c:v>205</c:v>
                </c:pt>
                <c:pt idx="2">
                  <c:v>456</c:v>
                </c:pt>
                <c:pt idx="3">
                  <c:v>687</c:v>
                </c:pt>
                <c:pt idx="4">
                  <c:v>895</c:v>
                </c:pt>
                <c:pt idx="5">
                  <c:v>1127</c:v>
                </c:pt>
                <c:pt idx="6">
                  <c:v>1345</c:v>
                </c:pt>
                <c:pt idx="7">
                  <c:v>1602</c:v>
                </c:pt>
                <c:pt idx="8">
                  <c:v>1875</c:v>
                </c:pt>
                <c:pt idx="9">
                  <c:v>2173</c:v>
                </c:pt>
              </c:numCache>
            </c:numRef>
          </c:xVal>
          <c:yVal>
            <c:numRef>
              <c:f>'100 Ohm'!$V$3:$V$12</c:f>
              <c:numCache>
                <c:formatCode>0.000000</c:formatCode>
                <c:ptCount val="10"/>
                <c:pt idx="0">
                  <c:v>99.998748610753211</c:v>
                </c:pt>
                <c:pt idx="1">
                  <c:v>99.998727127374352</c:v>
                </c:pt>
                <c:pt idx="2">
                  <c:v>99.998700823334858</c:v>
                </c:pt>
                <c:pt idx="3">
                  <c:v>99.998676615234771</c:v>
                </c:pt>
                <c:pt idx="4">
                  <c:v>99.998654817464995</c:v>
                </c:pt>
                <c:pt idx="5">
                  <c:v>99.998630504567942</c:v>
                </c:pt>
                <c:pt idx="6">
                  <c:v>99.998607658828462</c:v>
                </c:pt>
                <c:pt idx="7">
                  <c:v>99.998580726007148</c:v>
                </c:pt>
                <c:pt idx="8">
                  <c:v>99.998552116434325</c:v>
                </c:pt>
                <c:pt idx="9">
                  <c:v>99.998520886937243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02-4A9D-B366-C12F69AED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 Ohm'!$Q$3:$Q$12</c:f>
              <c:numCache>
                <c:formatCode>0</c:formatCode>
                <c:ptCount val="10"/>
                <c:pt idx="0">
                  <c:v>0</c:v>
                </c:pt>
                <c:pt idx="1">
                  <c:v>205</c:v>
                </c:pt>
                <c:pt idx="2">
                  <c:v>456</c:v>
                </c:pt>
                <c:pt idx="3">
                  <c:v>687</c:v>
                </c:pt>
                <c:pt idx="4">
                  <c:v>895</c:v>
                </c:pt>
                <c:pt idx="5">
                  <c:v>1127</c:v>
                </c:pt>
                <c:pt idx="6">
                  <c:v>1345</c:v>
                </c:pt>
                <c:pt idx="7">
                  <c:v>1602</c:v>
                </c:pt>
                <c:pt idx="8">
                  <c:v>1875</c:v>
                </c:pt>
                <c:pt idx="9">
                  <c:v>2173</c:v>
                </c:pt>
              </c:numCache>
            </c:numRef>
          </c:xVal>
          <c:yVal>
            <c:numRef>
              <c:f>'100 Ohm'!$W$3:$W$12</c:f>
              <c:numCache>
                <c:formatCode>0.000000</c:formatCode>
                <c:ptCount val="10"/>
                <c:pt idx="0">
                  <c:v>99.998617549247754</c:v>
                </c:pt>
                <c:pt idx="1">
                  <c:v>99.998596851636094</c:v>
                </c:pt>
                <c:pt idx="2">
                  <c:v>99.998569438404246</c:v>
                </c:pt>
                <c:pt idx="3">
                  <c:v>99.998542242507483</c:v>
                </c:pt>
                <c:pt idx="4">
                  <c:v>99.998516242096571</c:v>
                </c:pt>
                <c:pt idx="5">
                  <c:v>99.998485709245827</c:v>
                </c:pt>
                <c:pt idx="6">
                  <c:v>99.998455717611776</c:v>
                </c:pt>
                <c:pt idx="7">
                  <c:v>99.998418974206032</c:v>
                </c:pt>
                <c:pt idx="8">
                  <c:v>99.998378572504052</c:v>
                </c:pt>
                <c:pt idx="9">
                  <c:v>99.998333167225923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02-4A9D-B366-C12F69AED9FF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 Ohm'!$Q$3:$Q$12</c:f>
              <c:numCache>
                <c:formatCode>0</c:formatCode>
                <c:ptCount val="10"/>
                <c:pt idx="0">
                  <c:v>0</c:v>
                </c:pt>
                <c:pt idx="1">
                  <c:v>205</c:v>
                </c:pt>
                <c:pt idx="2">
                  <c:v>456</c:v>
                </c:pt>
                <c:pt idx="3">
                  <c:v>687</c:v>
                </c:pt>
                <c:pt idx="4">
                  <c:v>895</c:v>
                </c:pt>
                <c:pt idx="5">
                  <c:v>1127</c:v>
                </c:pt>
                <c:pt idx="6">
                  <c:v>1345</c:v>
                </c:pt>
                <c:pt idx="7">
                  <c:v>1602</c:v>
                </c:pt>
                <c:pt idx="8">
                  <c:v>1875</c:v>
                </c:pt>
                <c:pt idx="9">
                  <c:v>2173</c:v>
                </c:pt>
              </c:numCache>
            </c:numRef>
          </c:xVal>
          <c:yVal>
            <c:numRef>
              <c:f>'100 Ohm'!$X$3:$X$12</c:f>
              <c:numCache>
                <c:formatCode>0.000000</c:formatCode>
                <c:ptCount val="10"/>
                <c:pt idx="0">
                  <c:v>99.998879672258667</c:v>
                </c:pt>
                <c:pt idx="1">
                  <c:v>99.998857403112609</c:v>
                </c:pt>
                <c:pt idx="2">
                  <c:v>99.998832208265469</c:v>
                </c:pt>
                <c:pt idx="3">
                  <c:v>99.998810987962059</c:v>
                </c:pt>
                <c:pt idx="4">
                  <c:v>99.99879339283342</c:v>
                </c:pt>
                <c:pt idx="5">
                  <c:v>99.998775299890056</c:v>
                </c:pt>
                <c:pt idx="6">
                  <c:v>99.998759600045148</c:v>
                </c:pt>
                <c:pt idx="7">
                  <c:v>99.998742477808264</c:v>
                </c:pt>
                <c:pt idx="8">
                  <c:v>99.998725660364599</c:v>
                </c:pt>
                <c:pt idx="9">
                  <c:v>99.998708606648563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02-4A9D-B366-C12F69AED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554551388843902E-2"/>
          <c:y val="0.82849799161845106"/>
          <c:w val="0.82644001876743534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299830</xdr:colOff>
      <xdr:row>14</xdr:row>
      <xdr:rowOff>66266</xdr:rowOff>
    </xdr:from>
    <xdr:to>
      <xdr:col>9</xdr:col>
      <xdr:colOff>582891</xdr:colOff>
      <xdr:row>31</xdr:row>
      <xdr:rowOff>21540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8BC5C-885F-429F-B04A-E2026C06B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433667</xdr:colOff>
      <xdr:row>13</xdr:row>
      <xdr:rowOff>7844</xdr:rowOff>
    </xdr:from>
    <xdr:to>
      <xdr:col>21</xdr:col>
      <xdr:colOff>537994</xdr:colOff>
      <xdr:row>29</xdr:row>
      <xdr:rowOff>160244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AF37B4-E85E-4016-8ACA-6462647A0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5F78-E549-44A1-AD9C-C42C1D679F0A}">
  <sheetPr>
    <tabColor theme="9" tint="0.39997558519241921"/>
  </sheetPr>
  <dimension ref="A1:X27"/>
  <sheetViews>
    <sheetView tabSelected="1" topLeftCell="D1" zoomScale="115" zoomScaleNormal="115" workbookViewId="0">
      <selection activeCell="W15" sqref="W15"/>
    </sheetView>
  </sheetViews>
  <sheetFormatPr defaultColWidth="8.81640625" defaultRowHeight="14.5" x14ac:dyDescent="0.35"/>
  <cols>
    <col min="1" max="1" width="11" style="1" customWidth="1"/>
    <col min="2" max="2" width="18.1796875" style="1" bestFit="1" customWidth="1"/>
    <col min="3" max="3" width="17.26953125" style="1" bestFit="1" customWidth="1"/>
    <col min="4" max="4" width="10.1796875" style="1" bestFit="1" customWidth="1"/>
    <col min="5" max="5" width="11.453125" style="1" bestFit="1" customWidth="1"/>
    <col min="6" max="6" width="12.453125" style="1" bestFit="1" customWidth="1"/>
    <col min="7" max="7" width="8.26953125" style="1" bestFit="1" customWidth="1"/>
    <col min="8" max="10" width="12.453125" style="1" bestFit="1" customWidth="1"/>
    <col min="11" max="11" width="1" style="1" customWidth="1"/>
    <col min="12" max="12" width="8.453125" style="1" bestFit="1" customWidth="1"/>
    <col min="13" max="13" width="12" style="1" bestFit="1" customWidth="1"/>
    <col min="14" max="14" width="1" customWidth="1"/>
    <col min="15" max="15" width="10.54296875" style="1" customWidth="1"/>
    <col min="16" max="16" width="18.1796875" style="1" bestFit="1" customWidth="1"/>
    <col min="17" max="17" width="17.26953125" style="1" bestFit="1" customWidth="1"/>
    <col min="18" max="18" width="10.1796875" style="1" bestFit="1" customWidth="1"/>
    <col min="19" max="20" width="11.453125" style="1" bestFit="1" customWidth="1"/>
    <col min="21" max="21" width="8.26953125" style="1" bestFit="1" customWidth="1"/>
    <col min="22" max="23" width="11.453125" style="1" bestFit="1" customWidth="1"/>
    <col min="24" max="24" width="12.453125" style="1" bestFit="1" customWidth="1"/>
    <col min="25" max="16384" width="8.81640625" style="1"/>
  </cols>
  <sheetData>
    <row r="1" spans="1:24" ht="12" x14ac:dyDescent="0.35">
      <c r="A1" s="11"/>
      <c r="B1" s="9" t="s">
        <v>0</v>
      </c>
      <c r="C1" s="12" t="s">
        <v>1</v>
      </c>
      <c r="D1" s="12">
        <v>7678001</v>
      </c>
      <c r="E1" s="11"/>
      <c r="F1" s="11"/>
      <c r="G1" s="11"/>
      <c r="H1" s="22" t="s">
        <v>2</v>
      </c>
      <c r="I1" s="22"/>
      <c r="J1" s="22"/>
      <c r="K1" s="13"/>
      <c r="L1" s="23" t="s">
        <v>3</v>
      </c>
      <c r="M1" s="23"/>
      <c r="N1" s="13"/>
      <c r="O1" s="11"/>
      <c r="P1" s="9" t="s">
        <v>0</v>
      </c>
      <c r="Q1" s="12" t="s">
        <v>4</v>
      </c>
      <c r="R1" s="12">
        <v>7611001</v>
      </c>
      <c r="S1" s="11"/>
      <c r="T1" s="11"/>
      <c r="U1" s="11"/>
      <c r="V1" s="22" t="s">
        <v>2</v>
      </c>
      <c r="W1" s="22"/>
      <c r="X1" s="22"/>
    </row>
    <row r="2" spans="1:24" ht="13.15" customHeight="1" x14ac:dyDescent="0.35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10" t="s">
        <v>20</v>
      </c>
      <c r="G2" s="9" t="s">
        <v>10</v>
      </c>
      <c r="H2" s="18" t="s">
        <v>11</v>
      </c>
      <c r="I2" s="18" t="s">
        <v>12</v>
      </c>
      <c r="J2" s="18" t="s">
        <v>13</v>
      </c>
      <c r="K2" s="13"/>
      <c r="L2" s="14" t="s">
        <v>14</v>
      </c>
      <c r="M2" s="15">
        <f>COUNTA($F:$F)-2</f>
        <v>9</v>
      </c>
      <c r="N2" s="13"/>
      <c r="O2" s="9" t="s">
        <v>5</v>
      </c>
      <c r="P2" s="9" t="s">
        <v>6</v>
      </c>
      <c r="Q2" s="9" t="s">
        <v>7</v>
      </c>
      <c r="R2" s="9" t="s">
        <v>8</v>
      </c>
      <c r="S2" s="9" t="s">
        <v>9</v>
      </c>
      <c r="T2" s="10" t="s">
        <v>20</v>
      </c>
      <c r="U2" s="9" t="s">
        <v>10</v>
      </c>
      <c r="V2" s="18" t="s">
        <v>11</v>
      </c>
      <c r="W2" s="18" t="s">
        <v>12</v>
      </c>
      <c r="X2" s="18" t="s">
        <v>13</v>
      </c>
    </row>
    <row r="3" spans="1:24" ht="11.5" x14ac:dyDescent="0.35">
      <c r="A3" s="7">
        <v>43686</v>
      </c>
      <c r="B3" s="2">
        <v>0</v>
      </c>
      <c r="C3" s="2">
        <v>0</v>
      </c>
      <c r="D3" s="6">
        <f t="shared" ref="D3:D9" si="0">(F3-100)/100*1000000</f>
        <v>0.49000000004184585</v>
      </c>
      <c r="E3" s="6"/>
      <c r="F3" s="8">
        <v>100.000049</v>
      </c>
      <c r="G3" s="4">
        <v>3.8999999999999999E-5</v>
      </c>
      <c r="H3" s="21">
        <f t="shared" ref="H3:H12" ca="1" si="1">_xlfn.FORECAST.LINEAR($C3,Known_ys_PN010005,Known_xs_PN010005)</f>
        <v>100.00006077532559</v>
      </c>
      <c r="I3" s="21">
        <f t="shared" ref="I3:I12" ca="1" si="2">$H3-ABS(_xlfn.T.INV(0.025,df_PN010005))*(Syx_PN010005*SQRT(1+1/n_PN010005+($C3-XBar_PN010005)^2/SSx_PN010005))</f>
        <v>99.999988833014697</v>
      </c>
      <c r="J3" s="21">
        <f t="shared" ref="J3:J12" ca="1" si="3">$H3+ABS(_xlfn.T.INV(0.025,df_PN010005))*(Syx_PN010005*SQRT(1+1/n_PN010001+($C3-XBar_PN010005)^2/SSx_PN010005))</f>
        <v>100.00013271763649</v>
      </c>
      <c r="K3" s="13"/>
      <c r="L3" s="14" t="s">
        <v>15</v>
      </c>
      <c r="M3" s="15">
        <f>n_PN010005-2</f>
        <v>7</v>
      </c>
      <c r="N3" s="13"/>
      <c r="O3" s="7">
        <v>43970</v>
      </c>
      <c r="P3" s="2">
        <v>0</v>
      </c>
      <c r="Q3" s="2">
        <v>0</v>
      </c>
      <c r="R3" s="6">
        <f t="shared" ref="R3:R8" si="4">(T3-100)/100*1000000</f>
        <v>-12.449999999972761</v>
      </c>
      <c r="S3" s="6"/>
      <c r="T3" s="8">
        <v>99.998755000000003</v>
      </c>
      <c r="U3" s="4">
        <v>3.8999999999999999E-5</v>
      </c>
      <c r="V3" s="21">
        <f t="shared" ref="V3:V12" ca="1" si="5">_xlfn.FORECAST.LINEAR($Q3,Known_ys_PN010004,Known_xs_PN010004)</f>
        <v>99.998748610753211</v>
      </c>
      <c r="W3" s="21">
        <f t="shared" ref="W3:W12" ca="1" si="6">$V3-ABS(_xlfn.T.INV(0.025,df_PN010004))*(Syx_PN010004*SQRT(1+1/n_PN010004+($Q3-XBar_PN010004)^2/SSx_PN010004))</f>
        <v>99.998617549247754</v>
      </c>
      <c r="X3" s="21">
        <f t="shared" ref="X3:X12" ca="1" si="7">$V3+ABS(_xlfn.T.INV(0.025,df_PN010004))*(Syx_PN010004*SQRT(1+1/n_PN010004+($Q3-XBar_PN010004)^2/SSx_PN010004))</f>
        <v>99.998879672258667</v>
      </c>
    </row>
    <row r="4" spans="1:24" ht="11.5" x14ac:dyDescent="0.35">
      <c r="A4" s="7">
        <v>43830</v>
      </c>
      <c r="B4" s="2">
        <f t="shared" ref="B4:B9" si="8">A4-A3</f>
        <v>144</v>
      </c>
      <c r="C4" s="2">
        <f>SUM(B$4:B4)</f>
        <v>144</v>
      </c>
      <c r="D4" s="6">
        <f t="shared" si="0"/>
        <v>0.83000000003607965</v>
      </c>
      <c r="E4" s="5">
        <f t="shared" ref="E4:E9" si="9">D4-D3</f>
        <v>0.3399999999942338</v>
      </c>
      <c r="F4" s="8">
        <v>100.000083</v>
      </c>
      <c r="G4" s="4">
        <v>3.8999999999999999E-5</v>
      </c>
      <c r="H4" s="21">
        <f t="shared" ca="1" si="1"/>
        <v>100.00007127374812</v>
      </c>
      <c r="I4" s="21">
        <f t="shared" ca="1" si="2"/>
        <v>100.0000011747279</v>
      </c>
      <c r="J4" s="21">
        <f t="shared" ca="1" si="3"/>
        <v>100.00014137276834</v>
      </c>
      <c r="K4" s="13"/>
      <c r="L4" s="14" t="s">
        <v>16</v>
      </c>
      <c r="M4" s="16">
        <f ca="1">AVERAGE(OFFSET($C$3,,,COUNTA($C:$C)-3))</f>
        <v>1044</v>
      </c>
      <c r="N4" s="13"/>
      <c r="O4" s="7">
        <v>44175</v>
      </c>
      <c r="P4" s="2">
        <f t="shared" ref="P4:P9" si="10">O4-O3</f>
        <v>205</v>
      </c>
      <c r="Q4" s="2">
        <f>SUM(P$4:P4)</f>
        <v>205</v>
      </c>
      <c r="R4" s="6">
        <f t="shared" si="4"/>
        <v>-12.619999999969878</v>
      </c>
      <c r="S4" s="5">
        <f t="shared" ref="S4:S9" si="11">R4-R3</f>
        <v>-0.1699999999971169</v>
      </c>
      <c r="T4" s="8">
        <v>99.998738000000003</v>
      </c>
      <c r="U4" s="4">
        <v>3.8999999999999999E-5</v>
      </c>
      <c r="V4" s="21">
        <f t="shared" ca="1" si="5"/>
        <v>99.998727127374352</v>
      </c>
      <c r="W4" s="21">
        <f t="shared" ca="1" si="6"/>
        <v>99.998596851636094</v>
      </c>
      <c r="X4" s="21">
        <f t="shared" ca="1" si="7"/>
        <v>99.998857403112609</v>
      </c>
    </row>
    <row r="5" spans="1:24" ht="11.5" x14ac:dyDescent="0.35">
      <c r="A5" s="7">
        <v>44322</v>
      </c>
      <c r="B5" s="2">
        <f t="shared" si="8"/>
        <v>492</v>
      </c>
      <c r="C5" s="2">
        <f>SUM(B$4:B5)</f>
        <v>636</v>
      </c>
      <c r="D5" s="6">
        <f t="shared" si="0"/>
        <v>1.3400000000274304</v>
      </c>
      <c r="E5" s="5">
        <f t="shared" si="9"/>
        <v>0.50999999999135071</v>
      </c>
      <c r="F5" s="8">
        <v>100.000134</v>
      </c>
      <c r="G5" s="4">
        <v>3.8999999999999999E-5</v>
      </c>
      <c r="H5" s="21">
        <f t="shared" ca="1" si="1"/>
        <v>100.00010714335841</v>
      </c>
      <c r="I5" s="21">
        <f t="shared" ca="1" si="2"/>
        <v>100.00004147772832</v>
      </c>
      <c r="J5" s="21">
        <f t="shared" ca="1" si="3"/>
        <v>100.00017280898849</v>
      </c>
      <c r="K5" s="13"/>
      <c r="L5" s="14" t="s">
        <v>17</v>
      </c>
      <c r="M5" s="16">
        <f ca="1">STEYX(OFFSET($F$3,,,n_PN010005),OFFSET($C$3,,,n_PN010005))</f>
        <v>2.586494728490648E-5</v>
      </c>
      <c r="N5" s="13"/>
      <c r="O5" s="7">
        <v>44426</v>
      </c>
      <c r="P5" s="2">
        <f t="shared" si="10"/>
        <v>251</v>
      </c>
      <c r="Q5" s="2">
        <f>SUM(P$4:P5)</f>
        <v>456</v>
      </c>
      <c r="R5" s="6">
        <f t="shared" si="4"/>
        <v>-13.339999999999463</v>
      </c>
      <c r="S5" s="5">
        <f t="shared" si="11"/>
        <v>-0.72000000002958586</v>
      </c>
      <c r="T5" s="8">
        <v>99.998666</v>
      </c>
      <c r="U5" s="4">
        <v>3.8999999999999999E-5</v>
      </c>
      <c r="V5" s="21">
        <f t="shared" ca="1" si="5"/>
        <v>99.998700823334858</v>
      </c>
      <c r="W5" s="21">
        <f t="shared" ca="1" si="6"/>
        <v>99.998569438404246</v>
      </c>
      <c r="X5" s="21">
        <f t="shared" ca="1" si="7"/>
        <v>99.998832208265469</v>
      </c>
    </row>
    <row r="6" spans="1:24" ht="11.5" x14ac:dyDescent="0.35">
      <c r="A6" s="7">
        <v>44550</v>
      </c>
      <c r="B6" s="2">
        <f t="shared" si="8"/>
        <v>228</v>
      </c>
      <c r="C6" s="2">
        <f>SUM(B$4:B6)</f>
        <v>864</v>
      </c>
      <c r="D6" s="6">
        <f t="shared" si="0"/>
        <v>0.72000000002958586</v>
      </c>
      <c r="E6" s="5">
        <f t="shared" si="9"/>
        <v>-0.6199999999978445</v>
      </c>
      <c r="F6" s="8">
        <v>100.000072</v>
      </c>
      <c r="G6" s="4">
        <v>3.8999999999999999E-5</v>
      </c>
      <c r="H6" s="21">
        <f t="shared" ca="1" si="1"/>
        <v>100.00012376586074</v>
      </c>
      <c r="I6" s="21">
        <f t="shared" ca="1" si="2"/>
        <v>100.00005906203363</v>
      </c>
      <c r="J6" s="21">
        <f t="shared" ca="1" si="3"/>
        <v>100.00018846968784</v>
      </c>
      <c r="K6" s="13"/>
      <c r="L6" s="14" t="s">
        <v>18</v>
      </c>
      <c r="M6" s="16">
        <f ca="1">DEVSQ(OFFSET($C$3,,,n_PN010005))</f>
        <v>3999426</v>
      </c>
      <c r="N6" s="13"/>
      <c r="O6" s="7">
        <v>44657</v>
      </c>
      <c r="P6" s="2">
        <f t="shared" si="10"/>
        <v>231</v>
      </c>
      <c r="Q6" s="2">
        <f>SUM(P$4:P6)</f>
        <v>687</v>
      </c>
      <c r="R6" s="6">
        <f t="shared" si="4"/>
        <v>-13.189999999951851</v>
      </c>
      <c r="S6" s="5">
        <f t="shared" si="11"/>
        <v>0.15000000004761205</v>
      </c>
      <c r="T6" s="8">
        <v>99.998681000000005</v>
      </c>
      <c r="U6" s="4">
        <v>3.8999999999999999E-5</v>
      </c>
      <c r="V6" s="21">
        <f t="shared" ca="1" si="5"/>
        <v>99.998676615234771</v>
      </c>
      <c r="W6" s="21">
        <f t="shared" ca="1" si="6"/>
        <v>99.998542242507483</v>
      </c>
      <c r="X6" s="21">
        <f t="shared" ca="1" si="7"/>
        <v>99.998810987962059</v>
      </c>
    </row>
    <row r="7" spans="1:24" ht="11.5" x14ac:dyDescent="0.35">
      <c r="A7" s="7">
        <v>44761</v>
      </c>
      <c r="B7" s="2">
        <f t="shared" si="8"/>
        <v>211</v>
      </c>
      <c r="C7" s="2">
        <f>SUM(B$4:B7)</f>
        <v>1075</v>
      </c>
      <c r="D7" s="6">
        <f t="shared" si="0"/>
        <v>1.4299999999423108</v>
      </c>
      <c r="E7" s="5">
        <f t="shared" si="9"/>
        <v>0.70999999991272489</v>
      </c>
      <c r="F7" s="8">
        <v>100.00014299999999</v>
      </c>
      <c r="G7" s="4">
        <v>3.8999999999999999E-5</v>
      </c>
      <c r="H7" s="21">
        <f t="shared" ca="1" si="1"/>
        <v>100.00013914896596</v>
      </c>
      <c r="I7" s="21">
        <f t="shared" ca="1" si="2"/>
        <v>100.00007467276554</v>
      </c>
      <c r="J7" s="21">
        <f t="shared" ca="1" si="3"/>
        <v>100.00020362516638</v>
      </c>
      <c r="K7" s="13"/>
      <c r="L7" s="13"/>
      <c r="M7" s="13"/>
      <c r="N7" s="13"/>
      <c r="O7" s="7">
        <v>44865</v>
      </c>
      <c r="P7" s="2">
        <f t="shared" si="10"/>
        <v>208</v>
      </c>
      <c r="Q7" s="2">
        <f>SUM(P$4:P7)</f>
        <v>895</v>
      </c>
      <c r="R7" s="6">
        <f t="shared" si="4"/>
        <v>-13.45999999998071</v>
      </c>
      <c r="S7" s="5">
        <f t="shared" si="11"/>
        <v>-0.27000000002885827</v>
      </c>
      <c r="T7" s="8">
        <v>99.998654000000002</v>
      </c>
      <c r="U7" s="4">
        <v>3.8999999999999999E-5</v>
      </c>
      <c r="V7" s="21">
        <f t="shared" ca="1" si="5"/>
        <v>99.998654817464995</v>
      </c>
      <c r="W7" s="21">
        <f t="shared" ca="1" si="6"/>
        <v>99.998516242096571</v>
      </c>
      <c r="X7" s="21">
        <f t="shared" ca="1" si="7"/>
        <v>99.99879339283342</v>
      </c>
    </row>
    <row r="8" spans="1:24" ht="12" x14ac:dyDescent="0.35">
      <c r="A8" s="7">
        <v>44968</v>
      </c>
      <c r="B8" s="2">
        <f t="shared" si="8"/>
        <v>207</v>
      </c>
      <c r="C8" s="2">
        <f>SUM(B$4:B8)</f>
        <v>1282</v>
      </c>
      <c r="D8" s="6">
        <f t="shared" si="0"/>
        <v>1.7699999999365446</v>
      </c>
      <c r="E8" s="5">
        <f t="shared" si="9"/>
        <v>0.3399999999942338</v>
      </c>
      <c r="F8" s="8">
        <v>100.00017699999999</v>
      </c>
      <c r="G8" s="4">
        <v>3.8999999999999999E-5</v>
      </c>
      <c r="H8" s="21">
        <f t="shared" ca="1" si="1"/>
        <v>100.00015424044834</v>
      </c>
      <c r="I8" s="21">
        <f t="shared" ca="1" si="2"/>
        <v>100.00008936163364</v>
      </c>
      <c r="J8" s="21">
        <f t="shared" ca="1" si="3"/>
        <v>100.00021911926304</v>
      </c>
      <c r="K8" s="13"/>
      <c r="L8" s="23" t="s">
        <v>19</v>
      </c>
      <c r="M8" s="23"/>
      <c r="N8" s="13"/>
      <c r="O8" s="7">
        <v>45097</v>
      </c>
      <c r="P8" s="2">
        <f t="shared" si="10"/>
        <v>232</v>
      </c>
      <c r="Q8" s="2">
        <f>SUM(P$4:P8)</f>
        <v>1127</v>
      </c>
      <c r="R8" s="6">
        <f t="shared" si="4"/>
        <v>-13.639999999952579</v>
      </c>
      <c r="S8" s="5">
        <f t="shared" si="11"/>
        <v>-0.17999999997186933</v>
      </c>
      <c r="T8" s="8">
        <v>99.998636000000005</v>
      </c>
      <c r="U8" s="4">
        <v>3.8999999999999999E-5</v>
      </c>
      <c r="V8" s="21">
        <f t="shared" ca="1" si="5"/>
        <v>99.998630504567942</v>
      </c>
      <c r="W8" s="21">
        <f t="shared" ca="1" si="6"/>
        <v>99.998485709245827</v>
      </c>
      <c r="X8" s="21">
        <f t="shared" ca="1" si="7"/>
        <v>99.998775299890056</v>
      </c>
    </row>
    <row r="9" spans="1:24" ht="11.5" x14ac:dyDescent="0.35">
      <c r="A9" s="7">
        <v>45208</v>
      </c>
      <c r="B9" s="2">
        <f t="shared" si="8"/>
        <v>240</v>
      </c>
      <c r="C9" s="2">
        <f>SUM(B$4:B9)</f>
        <v>1522</v>
      </c>
      <c r="D9" s="6">
        <f t="shared" si="0"/>
        <v>1.8599999999935335</v>
      </c>
      <c r="E9" s="5">
        <f t="shared" si="9"/>
        <v>9.0000000056988938E-2</v>
      </c>
      <c r="F9" s="8">
        <v>100.000186</v>
      </c>
      <c r="G9" s="4">
        <v>3.8999999999999999E-5</v>
      </c>
      <c r="H9" s="21">
        <f t="shared" ca="1" si="1"/>
        <v>100.0001717378192</v>
      </c>
      <c r="I9" s="21">
        <f t="shared" ca="1" si="2"/>
        <v>100.00010563197883</v>
      </c>
      <c r="J9" s="21">
        <f t="shared" ca="1" si="3"/>
        <v>100.00023784365958</v>
      </c>
      <c r="K9" s="13"/>
      <c r="L9" s="14" t="s">
        <v>14</v>
      </c>
      <c r="M9" s="15">
        <f>COUNTA($T:$T)-2</f>
        <v>9</v>
      </c>
      <c r="N9" s="13"/>
      <c r="O9" s="7">
        <v>45315</v>
      </c>
      <c r="P9" s="2">
        <f t="shared" si="10"/>
        <v>218</v>
      </c>
      <c r="Q9" s="2">
        <f>SUM(P$4:P9)</f>
        <v>1345</v>
      </c>
      <c r="R9" s="6">
        <f t="shared" ref="R9:R10" si="12">(T9-100)/100*1000000</f>
        <v>-13.830000000041309</v>
      </c>
      <c r="S9" s="5">
        <f t="shared" si="11"/>
        <v>-0.1900000000887303</v>
      </c>
      <c r="T9" s="8">
        <v>99.998616999999996</v>
      </c>
      <c r="U9" s="4">
        <v>3.8999999999999999E-5</v>
      </c>
      <c r="V9" s="21">
        <f t="shared" ca="1" si="5"/>
        <v>99.998607658828462</v>
      </c>
      <c r="W9" s="21">
        <f t="shared" ca="1" si="6"/>
        <v>99.998455717611776</v>
      </c>
      <c r="X9" s="21">
        <f t="shared" ca="1" si="7"/>
        <v>99.998759600045148</v>
      </c>
    </row>
    <row r="10" spans="1:24" ht="11.5" x14ac:dyDescent="0.35">
      <c r="A10" s="7">
        <v>45519</v>
      </c>
      <c r="B10" s="2">
        <f t="shared" ref="B10" si="13">A10-A9</f>
        <v>311</v>
      </c>
      <c r="C10" s="2">
        <f>SUM(B$4:B10)</f>
        <v>1833</v>
      </c>
      <c r="D10" s="6">
        <f t="shared" ref="D10" si="14">(F10-100)/100*1000000</f>
        <v>1.7800000000534055</v>
      </c>
      <c r="E10" s="5">
        <f t="shared" ref="E10" si="15">D10-D9</f>
        <v>-7.9999999940127964E-2</v>
      </c>
      <c r="F10" s="8">
        <v>100.00017800000001</v>
      </c>
      <c r="G10" s="4">
        <v>3.8999999999999999E-5</v>
      </c>
      <c r="H10" s="21">
        <f t="shared" ca="1" si="1"/>
        <v>100.00019441149563</v>
      </c>
      <c r="I10" s="21">
        <f t="shared" ca="1" si="2"/>
        <v>100.000125574558</v>
      </c>
      <c r="J10" s="21">
        <f t="shared" ca="1" si="3"/>
        <v>100.00026324843326</v>
      </c>
      <c r="K10" s="13"/>
      <c r="L10" s="14" t="s">
        <v>15</v>
      </c>
      <c r="M10" s="15">
        <f>n_PN010004-2</f>
        <v>7</v>
      </c>
      <c r="N10" s="13"/>
      <c r="O10" s="7">
        <v>45572</v>
      </c>
      <c r="P10" s="2">
        <f t="shared" ref="P10:P11" si="16">O10-O9</f>
        <v>257</v>
      </c>
      <c r="Q10" s="2">
        <f>SUM(P$4:P10)</f>
        <v>1602</v>
      </c>
      <c r="R10" s="6">
        <f t="shared" si="12"/>
        <v>-13.979999999946813</v>
      </c>
      <c r="S10" s="5">
        <f t="shared" ref="S10:S11" si="17">R10-R9</f>
        <v>-0.1499999999055035</v>
      </c>
      <c r="T10" s="8">
        <v>99.998602000000005</v>
      </c>
      <c r="U10" s="4">
        <v>3.8999999999999999E-5</v>
      </c>
      <c r="V10" s="21">
        <f t="shared" ca="1" si="5"/>
        <v>99.998580726007148</v>
      </c>
      <c r="W10" s="21">
        <f t="shared" ca="1" si="6"/>
        <v>99.998418974206032</v>
      </c>
      <c r="X10" s="21">
        <f t="shared" ca="1" si="7"/>
        <v>99.998742477808264</v>
      </c>
    </row>
    <row r="11" spans="1:24" ht="11.5" x14ac:dyDescent="0.35">
      <c r="A11" s="7">
        <v>45726</v>
      </c>
      <c r="B11" s="2">
        <f t="shared" ref="B11" si="18">A11-A10</f>
        <v>207</v>
      </c>
      <c r="C11" s="2">
        <f>SUM(B$4:B11)</f>
        <v>2040</v>
      </c>
      <c r="D11" s="6">
        <f t="shared" ref="D11" si="19">(F11-100)/100*1000000</f>
        <v>2.0999999999560259</v>
      </c>
      <c r="E11" s="5">
        <f t="shared" ref="E11" si="20">D11-D10</f>
        <v>0.3199999999026204</v>
      </c>
      <c r="F11" s="8">
        <v>100.00021</v>
      </c>
      <c r="G11" s="4">
        <v>3.8999999999999999E-5</v>
      </c>
      <c r="H11" s="21">
        <f t="shared" ca="1" si="1"/>
        <v>100.00020950297801</v>
      </c>
      <c r="I11" s="21">
        <f t="shared" ca="1" si="2"/>
        <v>100.00013820002043</v>
      </c>
      <c r="J11" s="21">
        <f t="shared" ca="1" si="3"/>
        <v>100.00028080593559</v>
      </c>
      <c r="K11" s="13"/>
      <c r="L11" s="14" t="s">
        <v>16</v>
      </c>
      <c r="M11" s="16">
        <f ca="1">AVERAGE(OFFSET($P$3,,,COUNTA($P:$P)-3))</f>
        <v>208.33333333333334</v>
      </c>
      <c r="N11" s="13"/>
      <c r="O11" s="7">
        <v>45845</v>
      </c>
      <c r="P11" s="2">
        <f t="shared" si="16"/>
        <v>273</v>
      </c>
      <c r="Q11" s="2">
        <f>SUM(P$4:P11)</f>
        <v>1875</v>
      </c>
      <c r="R11" s="6">
        <f t="shared" ref="R11" si="21">(T11-100)/100*1000000</f>
        <v>-14.699999999976399</v>
      </c>
      <c r="S11" s="5">
        <f t="shared" si="17"/>
        <v>-0.72000000002958586</v>
      </c>
      <c r="T11" s="8">
        <v>99.998530000000002</v>
      </c>
      <c r="U11" s="4">
        <v>3.8999999999999999E-5</v>
      </c>
      <c r="V11" s="21">
        <f t="shared" ca="1" si="5"/>
        <v>99.998552116434325</v>
      </c>
      <c r="W11" s="21">
        <f t="shared" ca="1" si="6"/>
        <v>99.998378572504052</v>
      </c>
      <c r="X11" s="21">
        <f t="shared" ca="1" si="7"/>
        <v>99.998725660364599</v>
      </c>
    </row>
    <row r="12" spans="1:24" ht="11.5" x14ac:dyDescent="0.35">
      <c r="A12" s="7">
        <v>46008</v>
      </c>
      <c r="B12" s="2">
        <f t="shared" ref="B12" si="22">A12-A11</f>
        <v>282</v>
      </c>
      <c r="C12" s="2">
        <f>SUM(B$4:B12)</f>
        <v>2322</v>
      </c>
      <c r="D12" s="6">
        <f t="shared" ref="D12" si="23">(F12-100)/100*1000000</f>
        <v>2.4100000000260025</v>
      </c>
      <c r="E12" s="5">
        <f t="shared" ref="E12" si="24">D12-D11</f>
        <v>0.31000000006997652</v>
      </c>
      <c r="F12" s="8">
        <v>100.000241</v>
      </c>
      <c r="G12" s="4">
        <v>3.8999999999999999E-5</v>
      </c>
      <c r="H12" s="21">
        <f t="shared" ca="1" si="1"/>
        <v>100.00023006238878</v>
      </c>
      <c r="I12" s="21">
        <f t="shared" ca="1" si="2"/>
        <v>100.00015467082318</v>
      </c>
      <c r="J12" s="21">
        <f t="shared" ca="1" si="3"/>
        <v>100.00030545395438</v>
      </c>
      <c r="K12" s="13"/>
      <c r="L12" s="14" t="s">
        <v>17</v>
      </c>
      <c r="M12" s="16">
        <f ca="1">STEYX(OFFSET($T$3,,,n_PN010004),OFFSET($P$3,,,n_PN010004))</f>
        <v>5.2266327508217131E-5</v>
      </c>
      <c r="N12" s="13"/>
      <c r="O12" s="7">
        <v>46143</v>
      </c>
      <c r="P12" s="2">
        <f t="shared" ref="P12" si="25">O12-O11</f>
        <v>298</v>
      </c>
      <c r="Q12" s="2">
        <f>SUM(P$4:P12)</f>
        <v>2173</v>
      </c>
      <c r="R12" s="6">
        <f t="shared" ref="R12" si="26">(T12-100)/100*1000000</f>
        <v>-14.089999999953307</v>
      </c>
      <c r="S12" s="5">
        <f t="shared" ref="S12" si="27">R12-R11</f>
        <v>0.61000000002309207</v>
      </c>
      <c r="T12" s="8">
        <v>99.998591000000005</v>
      </c>
      <c r="U12" s="4">
        <v>3.8999999999999999E-5</v>
      </c>
      <c r="V12" s="21">
        <f t="shared" ca="1" si="5"/>
        <v>99.998520886937243</v>
      </c>
      <c r="W12" s="21">
        <f t="shared" ca="1" si="6"/>
        <v>99.998333167225923</v>
      </c>
      <c r="X12" s="21">
        <f t="shared" ca="1" si="7"/>
        <v>99.998708606648563</v>
      </c>
    </row>
    <row r="13" spans="1:24" ht="11.5" x14ac:dyDescent="0.35">
      <c r="A13" s="7"/>
      <c r="B13" s="2"/>
      <c r="C13" s="2"/>
      <c r="D13" s="6"/>
      <c r="E13" s="5"/>
      <c r="F13" s="3"/>
      <c r="G13" s="4"/>
      <c r="H13" s="4"/>
      <c r="I13" s="4"/>
      <c r="J13" s="4"/>
      <c r="K13" s="13"/>
      <c r="L13" s="14" t="s">
        <v>18</v>
      </c>
      <c r="M13" s="16">
        <f ca="1">DEVSQ(OFFSET($Q$3,,,n_PN010004))</f>
        <v>3227597.555555556</v>
      </c>
      <c r="N13" s="13"/>
      <c r="P13" s="2"/>
    </row>
    <row r="14" spans="1:24" x14ac:dyDescent="0.35">
      <c r="A14" s="7"/>
      <c r="B14" s="2"/>
      <c r="C14" s="2"/>
      <c r="D14" s="6"/>
      <c r="E14" s="5"/>
      <c r="F14" s="3"/>
      <c r="G14" s="4"/>
      <c r="H14" s="4"/>
      <c r="I14" s="4"/>
      <c r="J14" s="4"/>
      <c r="K14" s="17"/>
      <c r="L14" s="17"/>
      <c r="M14" s="17"/>
      <c r="N14" s="17"/>
      <c r="T14" s="3"/>
    </row>
    <row r="15" spans="1:24" x14ac:dyDescent="0.35">
      <c r="A15" s="7"/>
      <c r="B15" s="2"/>
      <c r="C15" s="2"/>
      <c r="D15" s="6"/>
      <c r="E15" s="5"/>
      <c r="F15" s="3"/>
      <c r="G15" s="4"/>
      <c r="H15" s="4"/>
      <c r="I15" s="4"/>
      <c r="J15" s="4"/>
      <c r="K15" s="4"/>
      <c r="L15" s="4"/>
      <c r="M15" s="4"/>
      <c r="T15" s="3"/>
    </row>
    <row r="16" spans="1:24" x14ac:dyDescent="0.35">
      <c r="A16" s="7"/>
      <c r="B16" s="2"/>
      <c r="C16" s="2"/>
      <c r="D16" s="6"/>
      <c r="E16" s="5"/>
      <c r="F16" s="3"/>
      <c r="G16" s="4"/>
      <c r="H16" s="4"/>
      <c r="I16" s="4"/>
      <c r="J16" s="4"/>
      <c r="K16" s="4"/>
      <c r="L16" s="4"/>
      <c r="M16" s="4"/>
      <c r="T16" s="3"/>
    </row>
    <row r="17" spans="1:20" x14ac:dyDescent="0.35">
      <c r="A17" s="7"/>
      <c r="B17" s="2"/>
      <c r="C17" s="2"/>
      <c r="D17" s="6"/>
      <c r="E17" s="5"/>
      <c r="G17" s="4"/>
      <c r="H17" s="4"/>
      <c r="I17" s="4"/>
      <c r="J17" s="4"/>
      <c r="K17" s="4"/>
      <c r="L17" s="4"/>
      <c r="M17" s="4"/>
      <c r="T17" s="3"/>
    </row>
    <row r="18" spans="1:20" x14ac:dyDescent="0.35">
      <c r="A18" s="7"/>
      <c r="B18" s="2"/>
      <c r="C18" s="2"/>
      <c r="D18" s="6"/>
      <c r="E18" s="5"/>
      <c r="G18" s="4"/>
      <c r="H18" s="4"/>
      <c r="I18" s="4"/>
      <c r="J18" s="4"/>
      <c r="K18" s="4"/>
      <c r="L18" s="4"/>
      <c r="M18" s="4"/>
      <c r="T18" s="3"/>
    </row>
    <row r="19" spans="1:20" x14ac:dyDescent="0.35">
      <c r="B19" s="2"/>
      <c r="T19" s="3"/>
    </row>
    <row r="20" spans="1:20" x14ac:dyDescent="0.35">
      <c r="B20" s="2"/>
      <c r="D20" s="19"/>
      <c r="E20" s="20"/>
      <c r="N20" s="1"/>
      <c r="P20"/>
    </row>
    <row r="21" spans="1:20" x14ac:dyDescent="0.35">
      <c r="B21" s="2"/>
    </row>
    <row r="22" spans="1:20" x14ac:dyDescent="0.35">
      <c r="B22" s="2"/>
    </row>
    <row r="23" spans="1:20" x14ac:dyDescent="0.35">
      <c r="B23" s="2"/>
    </row>
    <row r="24" spans="1:20" x14ac:dyDescent="0.35">
      <c r="B24" s="2"/>
    </row>
    <row r="25" spans="1:20" x14ac:dyDescent="0.35">
      <c r="B25" s="2"/>
    </row>
    <row r="26" spans="1:20" x14ac:dyDescent="0.35">
      <c r="B26" s="2"/>
    </row>
    <row r="27" spans="1:20" x14ac:dyDescent="0.35">
      <c r="B27" s="2"/>
    </row>
  </sheetData>
  <mergeCells count="4">
    <mergeCell ref="H1:J1"/>
    <mergeCell ref="L1:M1"/>
    <mergeCell ref="L8:M8"/>
    <mergeCell ref="V1:X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justed_x003f_ xmlns="e9030caa-ab7d-4043-a723-846408bcfa62">false</Adjusted_x003f_>
    <Cal_x002e_Date xmlns="e9030caa-ab7d-4043-a723-846408bcfa62" xsi:nil="true"/>
    <ETEs xmlns="e9030caa-ab7d-4043-a723-846408bcfa62" xsi:nil="true"/>
    <CalProvider xmlns="e9030caa-ab7d-4043-a723-846408bcfa6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F40ACA-BFD6-4D1A-AC23-8B2A1C3A7F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509993-36BB-4895-A6EF-545AB94155F6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3.xml><?xml version="1.0" encoding="utf-8"?>
<ds:datastoreItem xmlns:ds="http://schemas.openxmlformats.org/officeDocument/2006/customXml" ds:itemID="{BD382DB6-C7F9-4BEE-9D37-0DDF9ACF5A3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100 Ohm</vt:lpstr>
      <vt:lpstr>df_PN010004</vt:lpstr>
      <vt:lpstr>'100 Ohm'!df_PN010005</vt:lpstr>
      <vt:lpstr>'100 Ohm'!n_PN010001</vt:lpstr>
      <vt:lpstr>'100 Ohm'!n_PN010004</vt:lpstr>
      <vt:lpstr>'100 Ohm'!n_PN010005</vt:lpstr>
      <vt:lpstr>SSx_PN010004</vt:lpstr>
      <vt:lpstr>'100 Ohm'!SSx_PN010005</vt:lpstr>
      <vt:lpstr>Syx_PN010004</vt:lpstr>
      <vt:lpstr>'100 Ohm'!Syx_PN010005</vt:lpstr>
      <vt:lpstr>XBar_PN010004</vt:lpstr>
      <vt:lpstr>'100 Ohm'!XBar_PN010005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2023-11-16T12:18:42Z</dcterms:created>
  <dcterms:modified xsi:type="dcterms:W3CDTF">2026-09-08T00:02:18Z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