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6AF6C5A5-CCE9-41D5-93DC-33C621D0628E}" xr6:coauthVersionLast="47" xr6:coauthVersionMax="47" xr10:uidLastSave="{00000000-0000-0000-0000-000000000000}"/>
  <bookViews>
    <workbookView xWindow="-110" yWindow="-110" windowWidth="38620" windowHeight="21100" xr2:uid="{0E5945F0-6EBE-4EFF-B7D2-C646365AF249}"/>
  </bookViews>
  <sheets>
    <sheet name="1 Ohm" sheetId="1" r:id="rId1"/>
  </sheets>
  <definedNames>
    <definedName name="df_PN010001" localSheetId="0">'1 Ohm'!$M$3</definedName>
    <definedName name="df_PN010022" localSheetId="0">'1 Ohm'!$M$10</definedName>
    <definedName name="Known_xs_PN010001" localSheetId="0">OFFSET('1 Ohm'!$C$3,,,COUNTA('1 Ohm'!$C:$C)-3)</definedName>
    <definedName name="Known_xs_PN010022" localSheetId="0">OFFSET('1 Ohm'!$Q$3,,,COUNTA('1 Ohm'!$Q:$Q)-3)</definedName>
    <definedName name="Known_ys_PN010001" localSheetId="0">OFFSET('1 Ohm'!$F$3,,,COUNTA('1 Ohm'!$F:$F)-2)</definedName>
    <definedName name="Known_ys_PN010022" localSheetId="0">OFFSET('1 Ohm'!$T$3,,,COUNTA('1 Ohm'!$T:$T)-2)</definedName>
    <definedName name="n_PN010001" localSheetId="0">'1 Ohm'!$M$2</definedName>
    <definedName name="n_PN010022" localSheetId="0">'1 Ohm'!$M$9</definedName>
    <definedName name="PI_L_PN010001" localSheetId="0">OFFSET('1 Ohm'!$I$3,,,COUNTA('1 Ohm'!$I:$I)-1)</definedName>
    <definedName name="PI_L_PN010022" localSheetId="0">OFFSET('1 Ohm'!$W$3,,,COUNTA('1 Ohm'!$W:$W)-1)</definedName>
    <definedName name="PI_U_PN010001" localSheetId="0">OFFSET('1 Ohm'!$J$3,,,COUNTA('1 Ohm'!$J:$J)-1)</definedName>
    <definedName name="PI_U_PN010022" localSheetId="0">OFFSET('1 Ohm'!$X$3,,,COUNTA('1 Ohm'!$X:$X)-1)</definedName>
    <definedName name="Predicted_PN010001" localSheetId="0">OFFSET('1 Ohm'!$H$3,,,COUNTA('1 Ohm'!$H:$H)-2)</definedName>
    <definedName name="Predicted_PN010022" localSheetId="0">OFFSET('1 Ohm'!$V$3,,,COUNTA('1 Ohm'!$V:$V)-2)</definedName>
    <definedName name="SSx_PN010001" localSheetId="0">'1 Ohm'!$M$6</definedName>
    <definedName name="SSx_PN010022" localSheetId="0">'1 Ohm'!$M$13</definedName>
    <definedName name="Syx_PN010001" localSheetId="0">'1 Ohm'!$M$5</definedName>
    <definedName name="Syx_PN010022" localSheetId="0">'1 Ohm'!$M$12</definedName>
    <definedName name="XBar_PN010001" localSheetId="0">'1 Ohm'!$M$4</definedName>
    <definedName name="XBar_PN010022" localSheetId="0">'1 Ohm'!$M$11</definedName>
    <definedName name="XChart_PN010022">OFFSET('1 Ohm'!$Q$3,,,COUNTA('1 Ohm'!$Q:$Q)-2)</definedName>
    <definedName name="YChart_PN010022">OFFSET('1 Ohm'!$T$3,,,COUNTA('1 Ohm'!$T:$T)-1)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R17" i="1"/>
  <c r="S17" i="1" s="1"/>
  <c r="Q17" i="1"/>
  <c r="V17" i="1" s="1"/>
  <c r="P17" i="1"/>
  <c r="H23" i="1"/>
  <c r="B23" i="1"/>
  <c r="C23" i="1" s="1"/>
  <c r="H3" i="1" s="1"/>
  <c r="E23" i="1"/>
  <c r="D23" i="1"/>
  <c r="V16" i="1"/>
  <c r="R16" i="1"/>
  <c r="S16" i="1" s="1"/>
  <c r="P16" i="1"/>
  <c r="Q16" i="1" s="1"/>
  <c r="P15" i="1"/>
  <c r="D22" i="1"/>
  <c r="E22" i="1"/>
  <c r="B22" i="1"/>
  <c r="C22" i="1" s="1"/>
  <c r="S15" i="1"/>
  <c r="Q15" i="1"/>
  <c r="V15" i="1" s="1"/>
  <c r="R15" i="1"/>
  <c r="B21" i="1"/>
  <c r="C21" i="1" s="1"/>
  <c r="D21" i="1"/>
  <c r="E21" i="1" s="1"/>
  <c r="R14" i="1"/>
  <c r="S14" i="1" s="1"/>
  <c r="Q14" i="1"/>
  <c r="P14" i="1"/>
  <c r="B20" i="1"/>
  <c r="C20" i="1" s="1"/>
  <c r="P13" i="1"/>
  <c r="Q13" i="1" s="1"/>
  <c r="S13" i="1"/>
  <c r="R13" i="1"/>
  <c r="D20" i="1"/>
  <c r="D19" i="1"/>
  <c r="E19" i="1" s="1"/>
  <c r="C19" i="1"/>
  <c r="B19" i="1"/>
  <c r="M9" i="1"/>
  <c r="M2" i="1"/>
  <c r="M3" i="1" s="1"/>
  <c r="D3" i="1"/>
  <c r="R3" i="1"/>
  <c r="B4" i="1"/>
  <c r="C4" i="1"/>
  <c r="D4" i="1"/>
  <c r="E4" i="1" s="1"/>
  <c r="P4" i="1"/>
  <c r="Q4" i="1"/>
  <c r="R4" i="1"/>
  <c r="B5" i="1"/>
  <c r="D5" i="1"/>
  <c r="E6" i="1" s="1"/>
  <c r="P5" i="1"/>
  <c r="R5" i="1"/>
  <c r="B6" i="1"/>
  <c r="D6" i="1"/>
  <c r="P6" i="1"/>
  <c r="R6" i="1"/>
  <c r="B7" i="1"/>
  <c r="D7" i="1"/>
  <c r="P7" i="1"/>
  <c r="R7" i="1"/>
  <c r="S7" i="1" s="1"/>
  <c r="B8" i="1"/>
  <c r="D8" i="1"/>
  <c r="E8" i="1" s="1"/>
  <c r="P8" i="1"/>
  <c r="R8" i="1"/>
  <c r="S9" i="1" s="1"/>
  <c r="B9" i="1"/>
  <c r="D9" i="1"/>
  <c r="P9" i="1"/>
  <c r="R9" i="1"/>
  <c r="B10" i="1"/>
  <c r="D10" i="1"/>
  <c r="E10" i="1" s="1"/>
  <c r="P10" i="1"/>
  <c r="R10" i="1"/>
  <c r="S10" i="1" s="1"/>
  <c r="B11" i="1"/>
  <c r="D11" i="1"/>
  <c r="P11" i="1"/>
  <c r="R11" i="1"/>
  <c r="B12" i="1"/>
  <c r="D12" i="1"/>
  <c r="P12" i="1"/>
  <c r="R12" i="1"/>
  <c r="B13" i="1"/>
  <c r="D13" i="1"/>
  <c r="B14" i="1"/>
  <c r="D14" i="1"/>
  <c r="B15" i="1"/>
  <c r="D15" i="1"/>
  <c r="B16" i="1"/>
  <c r="D16" i="1"/>
  <c r="B17" i="1"/>
  <c r="D17" i="1"/>
  <c r="B18" i="1"/>
  <c r="D18" i="1"/>
  <c r="V9" i="1" l="1"/>
  <c r="V8" i="1"/>
  <c r="V10" i="1"/>
  <c r="H21" i="1"/>
  <c r="H22" i="1"/>
  <c r="V6" i="1"/>
  <c r="V7" i="1"/>
  <c r="V12" i="1"/>
  <c r="V13" i="1"/>
  <c r="V11" i="1"/>
  <c r="V14" i="1"/>
  <c r="V5" i="1"/>
  <c r="V4" i="1"/>
  <c r="E20" i="1"/>
  <c r="H19" i="1"/>
  <c r="H20" i="1"/>
  <c r="E18" i="1"/>
  <c r="S12" i="1"/>
  <c r="E16" i="1"/>
  <c r="S8" i="1"/>
  <c r="E7" i="1"/>
  <c r="S4" i="1"/>
  <c r="C8" i="1"/>
  <c r="E11" i="1"/>
  <c r="S5" i="1"/>
  <c r="E14" i="1"/>
  <c r="C9" i="1"/>
  <c r="Q11" i="1"/>
  <c r="E13" i="1"/>
  <c r="E5" i="1"/>
  <c r="E15" i="1"/>
  <c r="Q6" i="1"/>
  <c r="Q10" i="1"/>
  <c r="Q5" i="1"/>
  <c r="E12" i="1"/>
  <c r="C16" i="1"/>
  <c r="M10" i="1"/>
  <c r="C7" i="1"/>
  <c r="C11" i="1"/>
  <c r="C17" i="1"/>
  <c r="Q12" i="1"/>
  <c r="Q8" i="1"/>
  <c r="C6" i="1"/>
  <c r="E17" i="1"/>
  <c r="S11" i="1"/>
  <c r="C15" i="1"/>
  <c r="Q9" i="1"/>
  <c r="C10" i="1"/>
  <c r="C12" i="1"/>
  <c r="C14" i="1"/>
  <c r="Q7" i="1"/>
  <c r="M13" i="1" s="1"/>
  <c r="S6" i="1"/>
  <c r="E9" i="1"/>
  <c r="C5" i="1"/>
  <c r="C18" i="1"/>
  <c r="C13" i="1"/>
  <c r="M11" i="1" l="1"/>
  <c r="H16" i="1"/>
  <c r="M6" i="1"/>
  <c r="H14" i="1"/>
  <c r="M12" i="1"/>
  <c r="M5" i="1"/>
  <c r="H17" i="1"/>
  <c r="H9" i="1"/>
  <c r="H12" i="1"/>
  <c r="H11" i="1"/>
  <c r="H8" i="1"/>
  <c r="H10" i="1"/>
  <c r="V3" i="1"/>
  <c r="H4" i="1"/>
  <c r="H13" i="1"/>
  <c r="H15" i="1"/>
  <c r="H7" i="1"/>
  <c r="H18" i="1"/>
  <c r="H5" i="1"/>
  <c r="H6" i="1"/>
  <c r="X17" i="1" l="1"/>
  <c r="W17" i="1"/>
  <c r="J23" i="1"/>
  <c r="I23" i="1"/>
  <c r="X16" i="1"/>
  <c r="W16" i="1"/>
  <c r="J22" i="1"/>
  <c r="I22" i="1"/>
  <c r="W15" i="1"/>
  <c r="X15" i="1"/>
  <c r="I21" i="1"/>
  <c r="J21" i="1"/>
  <c r="X14" i="1"/>
  <c r="W14" i="1"/>
  <c r="W7" i="1"/>
  <c r="W11" i="1"/>
  <c r="X11" i="1"/>
  <c r="W6" i="1"/>
  <c r="W10" i="1"/>
  <c r="X6" i="1"/>
  <c r="X10" i="1"/>
  <c r="X7" i="1"/>
  <c r="W13" i="1"/>
  <c r="W12" i="1"/>
  <c r="W9" i="1"/>
  <c r="W8" i="1"/>
  <c r="W5" i="1"/>
  <c r="X13" i="1"/>
  <c r="X9" i="1"/>
  <c r="X5" i="1"/>
  <c r="X12" i="1"/>
  <c r="X8" i="1"/>
  <c r="X4" i="1"/>
  <c r="W4" i="1"/>
  <c r="J20" i="1"/>
  <c r="I20" i="1"/>
  <c r="I19" i="1"/>
  <c r="J19" i="1"/>
  <c r="J16" i="1"/>
  <c r="I14" i="1"/>
  <c r="I16" i="1"/>
  <c r="I3" i="1"/>
  <c r="J3" i="1"/>
  <c r="I18" i="1"/>
  <c r="J18" i="1"/>
  <c r="I8" i="1"/>
  <c r="J8" i="1"/>
  <c r="I7" i="1"/>
  <c r="J7" i="1"/>
  <c r="J11" i="1"/>
  <c r="I11" i="1"/>
  <c r="I15" i="1"/>
  <c r="J15" i="1"/>
  <c r="I12" i="1"/>
  <c r="J12" i="1"/>
  <c r="I13" i="1"/>
  <c r="J13" i="1"/>
  <c r="I9" i="1"/>
  <c r="J9" i="1"/>
  <c r="I6" i="1"/>
  <c r="J6" i="1"/>
  <c r="J17" i="1"/>
  <c r="I17" i="1"/>
  <c r="J14" i="1"/>
  <c r="I4" i="1"/>
  <c r="J4" i="1"/>
  <c r="I5" i="1"/>
  <c r="J5" i="1"/>
  <c r="X3" i="1"/>
  <c r="W3" i="1"/>
  <c r="I10" i="1"/>
  <c r="J10" i="1"/>
</calcChain>
</file>

<file path=xl/sharedStrings.xml><?xml version="1.0" encoding="utf-8"?>
<sst xmlns="http://schemas.openxmlformats.org/spreadsheetml/2006/main" count="38" uniqueCount="21">
  <si>
    <t>742A-1</t>
  </si>
  <si>
    <t>PN010001</t>
  </si>
  <si>
    <t>Prediction Interval (95%)</t>
  </si>
  <si>
    <r>
      <rPr>
        <b/>
        <sz val="9"/>
        <color rgb="FFC00000"/>
        <rFont val="Calibri"/>
        <family val="2"/>
      </rPr>
      <t xml:space="preserve">← </t>
    </r>
    <r>
      <rPr>
        <b/>
        <sz val="9"/>
        <color theme="1"/>
        <rFont val="Arial"/>
        <family val="2"/>
      </rPr>
      <t>PN010001</t>
    </r>
  </si>
  <si>
    <t>PN010022</t>
  </si>
  <si>
    <t>Date</t>
  </si>
  <si>
    <r>
      <t>Since Last Cal</t>
    </r>
    <r>
      <rPr>
        <b/>
        <sz val="8"/>
        <color theme="0" tint="-4.9989318521683403E-2"/>
        <rFont val="Arial"/>
        <family val="2"/>
      </rPr>
      <t xml:space="preserve"> [Days]</t>
    </r>
  </si>
  <si>
    <r>
      <t>Accumulated</t>
    </r>
    <r>
      <rPr>
        <b/>
        <sz val="8"/>
        <color theme="0" tint="-4.9989318521683403E-2"/>
        <rFont val="Arial"/>
        <family val="2"/>
      </rPr>
      <t xml:space="preserve"> [Days]</t>
    </r>
  </si>
  <si>
    <r>
      <t>Error</t>
    </r>
    <r>
      <rPr>
        <b/>
        <sz val="8"/>
        <color theme="0" tint="-4.9989318521683403E-2"/>
        <rFont val="Arial"/>
        <family val="2"/>
      </rPr>
      <t xml:space="preserve"> [PPM]</t>
    </r>
  </si>
  <si>
    <r>
      <t>Drifted</t>
    </r>
    <r>
      <rPr>
        <b/>
        <sz val="8"/>
        <color theme="0" tint="-4.9989318521683403E-2"/>
        <rFont val="Arial"/>
        <family val="2"/>
      </rPr>
      <t xml:space="preserve"> [PPM]</t>
    </r>
  </si>
  <si>
    <r>
      <t>MU</t>
    </r>
    <r>
      <rPr>
        <b/>
        <sz val="8"/>
        <color theme="0" tint="-4.9989318521683403E-2"/>
        <rFont val="Arial"/>
        <family val="2"/>
      </rPr>
      <t xml:space="preserve"> (K =2)</t>
    </r>
  </si>
  <si>
    <t>Prediction</t>
  </si>
  <si>
    <t>Lower</t>
  </si>
  <si>
    <t>Upper</t>
  </si>
  <si>
    <t>n</t>
  </si>
  <si>
    <t>df</t>
  </si>
  <si>
    <t>Mean of X</t>
  </si>
  <si>
    <t>Syx</t>
  </si>
  <si>
    <t>SSx</t>
  </si>
  <si>
    <r>
      <t xml:space="preserve">PN010022 </t>
    </r>
    <r>
      <rPr>
        <b/>
        <sz val="9"/>
        <color rgb="FFC00000"/>
        <rFont val="Calibri"/>
        <family val="2"/>
      </rPr>
      <t>→</t>
    </r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</si>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</sst>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"/>
    <numFmt numFmtId="165" formatCode="0.00000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rgb="FF595959"/>
      <name val="Aptos Narrow"/>
      <family val="2"/>
      <scheme val="minor"/>
    </font>
    <font>
      <sz val="9"/>
      <color theme="1"/>
      <name val="Cambria"/>
      <family val="1"/>
    </font>
    <font>
      <b/>
      <sz val="9"/>
      <color theme="1"/>
      <name val="Arial"/>
      <family val="2"/>
    </font>
    <font>
      <b/>
      <sz val="9"/>
      <color rgb="FFC00000"/>
      <name val="Calibri"/>
      <family val="2"/>
    </font>
    <font>
      <b/>
      <sz val="9"/>
      <color theme="0" tint="-4.9989318521683403E-2"/>
      <name val="Arial"/>
      <family val="2"/>
    </font>
    <font>
      <b/>
      <sz val="8"/>
      <color theme="0" tint="-4.9989318521683403E-2"/>
      <name val="Arial"/>
      <family val="2"/>
    </font>
    <font>
      <b/>
      <sz val="9"/>
      <color theme="0"/>
      <name val="Arial"/>
      <family val="2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readingOrder="1"/>
    </xf>
    <xf numFmtId="11" fontId="2" fillId="0" borderId="0" xfId="0" applyNumberFormat="1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165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1" fontId="3" fillId="0" borderId="1" xfId="0" applyNumberFormat="1" applyFont="1" applyBorder="1" applyAlignment="1">
      <alignment horizontal="center" vertical="center"/>
    </xf>
    <xf numFmtId="0" fontId="0" fillId="3" borderId="0" xfId="0" applyFill="1"/>
    <xf numFmtId="165" fontId="1" fillId="9" borderId="0" xfId="0" applyNumberFormat="1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 readingOrder="1"/>
    </xf>
    <xf numFmtId="0" fontId="8" fillId="6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PN010001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3630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 Ohm'!$F$3:$F$23</c:f>
              <c:numCache>
                <c:formatCode>0.00000000</c:formatCode>
                <c:ptCount val="21"/>
                <c:pt idx="0">
                  <c:v>1.0000100999999999</c:v>
                </c:pt>
                <c:pt idx="1">
                  <c:v>1.0000108999999999</c:v>
                </c:pt>
                <c:pt idx="2">
                  <c:v>1.000011</c:v>
                </c:pt>
                <c:pt idx="3">
                  <c:v>1.0000114</c:v>
                </c:pt>
                <c:pt idx="4">
                  <c:v>1.0000115999999999</c:v>
                </c:pt>
                <c:pt idx="5">
                  <c:v>1.0000116999999999</c:v>
                </c:pt>
                <c:pt idx="6">
                  <c:v>1.00001176</c:v>
                </c:pt>
                <c:pt idx="7">
                  <c:v>1.00001209</c:v>
                </c:pt>
                <c:pt idx="8">
                  <c:v>1.0000131000000001</c:v>
                </c:pt>
                <c:pt idx="9">
                  <c:v>1.0000135999999999</c:v>
                </c:pt>
                <c:pt idx="10">
                  <c:v>1.0000137</c:v>
                </c:pt>
                <c:pt idx="11">
                  <c:v>1.0000141600000001</c:v>
                </c:pt>
                <c:pt idx="12">
                  <c:v>1.0000146670000001</c:v>
                </c:pt>
                <c:pt idx="13">
                  <c:v>1.000015061</c:v>
                </c:pt>
                <c:pt idx="14" formatCode="General">
                  <c:v>1.0000153300000001</c:v>
                </c:pt>
                <c:pt idx="15" formatCode="General">
                  <c:v>1.00001553</c:v>
                </c:pt>
                <c:pt idx="16" formatCode="General">
                  <c:v>1.0000159900000001</c:v>
                </c:pt>
                <c:pt idx="17" formatCode="General">
                  <c:v>1.0000160199999999</c:v>
                </c:pt>
                <c:pt idx="18" formatCode="General">
                  <c:v>1.00001652</c:v>
                </c:pt>
                <c:pt idx="19" formatCode="General">
                  <c:v>1.0000169800000001</c:v>
                </c:pt>
                <c:pt idx="20" formatCode="General">
                  <c:v>1.00001758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A4-4AEC-9820-513C6FF1ADDF}"/>
            </c:ext>
          </c:extLst>
        </c:ser>
        <c:ser>
          <c:idx val="1"/>
          <c:order val="1"/>
          <c:tx>
            <c:v>Prediction</c:v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3630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 Ohm'!$H$3:$H$23</c:f>
              <c:numCache>
                <c:formatCode>0.00000000</c:formatCode>
                <c:ptCount val="21"/>
                <c:pt idx="0">
                  <c:v>1.0000103519091075</c:v>
                </c:pt>
                <c:pt idx="1">
                  <c:v>1.0000106272603657</c:v>
                </c:pt>
                <c:pt idx="2">
                  <c:v>1.0000109227944387</c:v>
                </c:pt>
                <c:pt idx="3">
                  <c:v>1.0000112327448081</c:v>
                </c:pt>
                <c:pt idx="4">
                  <c:v>1.00001153260377</c:v>
                </c:pt>
                <c:pt idx="5">
                  <c:v>1.0000118454373985</c:v>
                </c:pt>
                <c:pt idx="6">
                  <c:v>1.0000121597126568</c:v>
                </c:pt>
                <c:pt idx="7">
                  <c:v>1.0000125849933958</c:v>
                </c:pt>
                <c:pt idx="8">
                  <c:v>1.0000130275736907</c:v>
                </c:pt>
                <c:pt idx="9">
                  <c:v>1.0000133231077637</c:v>
                </c:pt>
                <c:pt idx="10">
                  <c:v>1.0000136157585775</c:v>
                </c:pt>
                <c:pt idx="11">
                  <c:v>1.0000139141759097</c:v>
                </c:pt>
                <c:pt idx="12">
                  <c:v>1.0000144504621302</c:v>
                </c:pt>
                <c:pt idx="13">
                  <c:v>1.000014957915758</c:v>
                </c:pt>
                <c:pt idx="14">
                  <c:v>1.0000152866073124</c:v>
                </c:pt>
                <c:pt idx="15">
                  <c:v>1.0000155850246446</c:v>
                </c:pt>
                <c:pt idx="16">
                  <c:v>1.0000158892084954</c:v>
                </c:pt>
                <c:pt idx="17">
                  <c:v>1.0000162351996054</c:v>
                </c:pt>
                <c:pt idx="18">
                  <c:v>1.0000166835464186</c:v>
                </c:pt>
                <c:pt idx="19">
                  <c:v>1.0000169819637508</c:v>
                </c:pt>
                <c:pt idx="20">
                  <c:v>1.000017388503305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A4-4AEC-9820-513C6FF1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tx>
            <c:v>Lower Bound</c:v>
          </c:tx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3630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 Ohm'!$I$3:$I$23</c:f>
              <c:numCache>
                <c:formatCode>0.00000000</c:formatCode>
                <c:ptCount val="21"/>
                <c:pt idx="0">
                  <c:v>1.0000098444465892</c:v>
                </c:pt>
                <c:pt idx="1">
                  <c:v>1.0000101241007995</c:v>
                </c:pt>
                <c:pt idx="2">
                  <c:v>1.0000104238595811</c:v>
                </c:pt>
                <c:pt idx="3">
                  <c:v>1.0000107377917682</c:v>
                </c:pt>
                <c:pt idx="4">
                  <c:v>1.0000110410551013</c:v>
                </c:pt>
                <c:pt idx="5">
                  <c:v>1.0000113569609519</c:v>
                </c:pt>
                <c:pt idx="6">
                  <c:v>1.0000116738203741</c:v>
                </c:pt>
                <c:pt idx="7">
                  <c:v>1.0000121017824652</c:v>
                </c:pt>
                <c:pt idx="8">
                  <c:v>1.0000125461421809</c:v>
                </c:pt>
                <c:pt idx="9">
                  <c:v>1.0000128422844723</c:v>
                </c:pt>
                <c:pt idx="10">
                  <c:v>1.0000131350776817</c:v>
                </c:pt>
                <c:pt idx="11">
                  <c:v>1.000013433168546</c:v>
                </c:pt>
                <c:pt idx="12">
                  <c:v>1.0000139676750102</c:v>
                </c:pt>
                <c:pt idx="13">
                  <c:v>1.0000144720469599</c:v>
                </c:pt>
                <c:pt idx="14">
                  <c:v>1.0000147980290255</c:v>
                </c:pt>
                <c:pt idx="15">
                  <c:v>1.0000150935095955</c:v>
                </c:pt>
                <c:pt idx="16">
                  <c:v>1.0000153942415051</c:v>
                </c:pt>
                <c:pt idx="17">
                  <c:v>1.0000157357558226</c:v>
                </c:pt>
                <c:pt idx="18">
                  <c:v>1.0000161774548737</c:v>
                </c:pt>
                <c:pt idx="19">
                  <c:v>1.0000164709344859</c:v>
                </c:pt>
                <c:pt idx="20">
                  <c:v>1.0000168701117578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A4-4AEC-9820-513C6FF1ADDF}"/>
            </c:ext>
          </c:extLst>
        </c:ser>
        <c:ser>
          <c:idx val="3"/>
          <c:order val="3"/>
          <c:tx>
            <c:v>Upper Bound</c:v>
          </c:tx>
          <c:spPr>
            <a:ln w="635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 Ohm'!$C$3:$C$23</c:f>
              <c:numCache>
                <c:formatCode>0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396</c:v>
                </c:pt>
                <c:pt idx="3">
                  <c:v>611</c:v>
                </c:pt>
                <c:pt idx="4">
                  <c:v>819</c:v>
                </c:pt>
                <c:pt idx="5">
                  <c:v>1036</c:v>
                </c:pt>
                <c:pt idx="6">
                  <c:v>1254</c:v>
                </c:pt>
                <c:pt idx="7">
                  <c:v>1549</c:v>
                </c:pt>
                <c:pt idx="8">
                  <c:v>1856</c:v>
                </c:pt>
                <c:pt idx="9">
                  <c:v>2061</c:v>
                </c:pt>
                <c:pt idx="10">
                  <c:v>2264</c:v>
                </c:pt>
                <c:pt idx="11">
                  <c:v>2471</c:v>
                </c:pt>
                <c:pt idx="12">
                  <c:v>2843</c:v>
                </c:pt>
                <c:pt idx="13">
                  <c:v>3195</c:v>
                </c:pt>
                <c:pt idx="14">
                  <c:v>3423</c:v>
                </c:pt>
                <c:pt idx="15">
                  <c:v>3630</c:v>
                </c:pt>
                <c:pt idx="16">
                  <c:v>3841</c:v>
                </c:pt>
                <c:pt idx="17">
                  <c:v>4081</c:v>
                </c:pt>
                <c:pt idx="18">
                  <c:v>4392</c:v>
                </c:pt>
                <c:pt idx="19">
                  <c:v>4599</c:v>
                </c:pt>
                <c:pt idx="20">
                  <c:v>4881</c:v>
                </c:pt>
              </c:numCache>
            </c:numRef>
          </c:xVal>
          <c:yVal>
            <c:numRef>
              <c:f>'1 Ohm'!$J$3:$J$23</c:f>
              <c:numCache>
                <c:formatCode>0.00000000</c:formatCode>
                <c:ptCount val="21"/>
                <c:pt idx="0">
                  <c:v>1.0000108593716257</c:v>
                </c:pt>
                <c:pt idx="1">
                  <c:v>1.0000111304199319</c:v>
                </c:pt>
                <c:pt idx="2">
                  <c:v>1.0000114217292964</c:v>
                </c:pt>
                <c:pt idx="3">
                  <c:v>1.000011727697848</c:v>
                </c:pt>
                <c:pt idx="4">
                  <c:v>1.0000120241524386</c:v>
                </c:pt>
                <c:pt idx="5">
                  <c:v>1.0000123339138451</c:v>
                </c:pt>
                <c:pt idx="6">
                  <c:v>1.0000126456049394</c:v>
                </c:pt>
                <c:pt idx="7">
                  <c:v>1.0000130682043264</c:v>
                </c:pt>
                <c:pt idx="8">
                  <c:v>1.0000135090052005</c:v>
                </c:pt>
                <c:pt idx="9">
                  <c:v>1.0000138039310551</c:v>
                </c:pt>
                <c:pt idx="10">
                  <c:v>1.0000140964394733</c:v>
                </c:pt>
                <c:pt idx="11">
                  <c:v>1.0000143951832734</c:v>
                </c:pt>
                <c:pt idx="12">
                  <c:v>1.0000149332492503</c:v>
                </c:pt>
                <c:pt idx="13">
                  <c:v>1.0000154437845561</c:v>
                </c:pt>
                <c:pt idx="14">
                  <c:v>1.0000157751855994</c:v>
                </c:pt>
                <c:pt idx="15">
                  <c:v>1.0000160765396937</c:v>
                </c:pt>
                <c:pt idx="16">
                  <c:v>1.0000163841754857</c:v>
                </c:pt>
                <c:pt idx="17">
                  <c:v>1.0000167346433881</c:v>
                </c:pt>
                <c:pt idx="18">
                  <c:v>1.0000171896379635</c:v>
                </c:pt>
                <c:pt idx="19">
                  <c:v>1.0000174929930157</c:v>
                </c:pt>
                <c:pt idx="20">
                  <c:v>1.0000179068948523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A4-4AEC-9820-513C6FF1A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473724799425115"/>
          <c:y val="0.82849799161845106"/>
          <c:w val="0.73625727919235473"/>
          <c:h val="0.148481750554661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400"/>
              <a:t>PN010022</a:t>
            </a:r>
            <a:r>
              <a:rPr lang="en-GB" sz="1800" baseline="0"/>
              <a:t> </a:t>
            </a:r>
            <a:r>
              <a:rPr lang="en-GB" sz="1050" baseline="0"/>
              <a:t>Historical vs Prediction</a:t>
            </a:r>
            <a:endParaRPr lang="en-GB" sz="105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'1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1311</c:v>
                </c:pt>
                <c:pt idx="7">
                  <c:v>1562</c:v>
                </c:pt>
                <c:pt idx="8">
                  <c:v>1794</c:v>
                </c:pt>
                <c:pt idx="9">
                  <c:v>2001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3278</c:v>
                </c:pt>
              </c:numCache>
            </c:numRef>
          </c:xVal>
          <c:yVal>
            <c:numRef>
              <c:f>'1 Ohm'!$T$3:$T$17</c:f>
              <c:numCache>
                <c:formatCode>0.00000000</c:formatCode>
                <c:ptCount val="15"/>
                <c:pt idx="0">
                  <c:v>1.0000093000000001</c:v>
                </c:pt>
                <c:pt idx="1">
                  <c:v>1.0000096999999999</c:v>
                </c:pt>
                <c:pt idx="2">
                  <c:v>1.00000961</c:v>
                </c:pt>
                <c:pt idx="3">
                  <c:v>1.00001045</c:v>
                </c:pt>
                <c:pt idx="4">
                  <c:v>1.0000102</c:v>
                </c:pt>
                <c:pt idx="5">
                  <c:v>1.0000109800000001</c:v>
                </c:pt>
                <c:pt idx="6">
                  <c:v>1.0000109800000001</c:v>
                </c:pt>
                <c:pt idx="7">
                  <c:v>1.00001082</c:v>
                </c:pt>
                <c:pt idx="8">
                  <c:v>1.0000111700000001</c:v>
                </c:pt>
                <c:pt idx="9">
                  <c:v>1.0000113500000001</c:v>
                </c:pt>
                <c:pt idx="10">
                  <c:v>1.0000115599999999</c:v>
                </c:pt>
                <c:pt idx="11">
                  <c:v>1.00001187</c:v>
                </c:pt>
                <c:pt idx="12">
                  <c:v>1.00001199</c:v>
                </c:pt>
                <c:pt idx="13">
                  <c:v>1.0000121</c:v>
                </c:pt>
                <c:pt idx="14">
                  <c:v>1.0000125499999999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B3-4D75-8ACE-12A753176E84}"/>
            </c:ext>
          </c:extLst>
        </c:ser>
        <c:ser>
          <c:idx val="1"/>
          <c:order val="1"/>
          <c:tx>
            <c:v>Predicted</c:v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1311</c:v>
                </c:pt>
                <c:pt idx="7">
                  <c:v>1562</c:v>
                </c:pt>
                <c:pt idx="8">
                  <c:v>1794</c:v>
                </c:pt>
                <c:pt idx="9">
                  <c:v>2001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3278</c:v>
                </c:pt>
              </c:numCache>
            </c:numRef>
          </c:xVal>
          <c:yVal>
            <c:numRef>
              <c:f>'1 Ohm'!$V$3:$V$17</c:f>
              <c:numCache>
                <c:formatCode>0.00000000</c:formatCode>
                <c:ptCount val="15"/>
                <c:pt idx="0">
                  <c:v>1.0000095475802675</c:v>
                </c:pt>
                <c:pt idx="1">
                  <c:v>1.0000097597174853</c:v>
                </c:pt>
                <c:pt idx="2">
                  <c:v>1.0000099389368589</c:v>
                </c:pt>
                <c:pt idx="3">
                  <c:v>1.0000101428446155</c:v>
                </c:pt>
                <c:pt idx="4">
                  <c:v>1.0000102992043751</c:v>
                </c:pt>
                <c:pt idx="5">
                  <c:v>1.0000104308757518</c:v>
                </c:pt>
                <c:pt idx="6">
                  <c:v>1.0000107463384247</c:v>
                </c:pt>
                <c:pt idx="7">
                  <c:v>1.000010975848949</c:v>
                </c:pt>
                <c:pt idx="8">
                  <c:v>1.0000111879861668</c:v>
                </c:pt>
                <c:pt idx="9">
                  <c:v>1.0000113772637707</c:v>
                </c:pt>
                <c:pt idx="10">
                  <c:v>1.0000115894009884</c:v>
                </c:pt>
                <c:pt idx="11">
                  <c:v>1.0000117869080531</c:v>
                </c:pt>
                <c:pt idx="12">
                  <c:v>1.0000120237336541</c:v>
                </c:pt>
                <c:pt idx="13">
                  <c:v>1.0000122733606387</c:v>
                </c:pt>
                <c:pt idx="14">
                  <c:v>1.0000125449328527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B3-4D75-8ACE-12A753176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scatterChart>
        <c:scatterStyle val="smoothMarker"/>
        <c:varyColors val="0"/>
        <c:ser>
          <c:idx val="2"/>
          <c:order val="2"/>
          <c:tx>
            <c:v>Lower Bound</c:v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1311</c:v>
                </c:pt>
                <c:pt idx="7">
                  <c:v>1562</c:v>
                </c:pt>
                <c:pt idx="8">
                  <c:v>1794</c:v>
                </c:pt>
                <c:pt idx="9">
                  <c:v>2001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3278</c:v>
                </c:pt>
              </c:numCache>
            </c:numRef>
          </c:xVal>
          <c:yVal>
            <c:numRef>
              <c:f>'1 Ohm'!$W$3:$W$17</c:f>
              <c:numCache>
                <c:formatCode>0.00000000</c:formatCode>
                <c:ptCount val="15"/>
                <c:pt idx="0">
                  <c:v>1.0000089842563293</c:v>
                </c:pt>
                <c:pt idx="1">
                  <c:v>1.0000092081906193</c:v>
                </c:pt>
                <c:pt idx="2">
                  <c:v>1.0000093959186478</c:v>
                </c:pt>
                <c:pt idx="3">
                  <c:v>1.0000096077974581</c:v>
                </c:pt>
                <c:pt idx="4">
                  <c:v>1.0000097689873886</c:v>
                </c:pt>
                <c:pt idx="5">
                  <c:v>1.0000099038375003</c:v>
                </c:pt>
                <c:pt idx="6">
                  <c:v>1.0000102235253014</c:v>
                </c:pt>
                <c:pt idx="7">
                  <c:v>1.0000104530556717</c:v>
                </c:pt>
                <c:pt idx="8">
                  <c:v>1.0000106629190992</c:v>
                </c:pt>
                <c:pt idx="9">
                  <c:v>1.0000108483317773</c:v>
                </c:pt>
                <c:pt idx="10">
                  <c:v>1.0000110541275409</c:v>
                </c:pt>
                <c:pt idx="11">
                  <c:v>1.000011243884144</c:v>
                </c:pt>
                <c:pt idx="12">
                  <c:v>1.0000114691771707</c:v>
                </c:pt>
                <c:pt idx="13">
                  <c:v>1.0000117041611973</c:v>
                </c:pt>
                <c:pt idx="14">
                  <c:v>1.0000119571248405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B3-4D75-8ACE-12A753176E84}"/>
            </c:ext>
          </c:extLst>
        </c:ser>
        <c:ser>
          <c:idx val="3"/>
          <c:order val="3"/>
          <c:tx>
            <c:v>Upper Bound</c:v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'1 Ohm'!$Q$3:$Q$17</c:f>
              <c:numCache>
                <c:formatCode>0</c:formatCode>
                <c:ptCount val="15"/>
                <c:pt idx="0">
                  <c:v>0</c:v>
                </c:pt>
                <c:pt idx="1">
                  <c:v>232</c:v>
                </c:pt>
                <c:pt idx="2">
                  <c:v>428</c:v>
                </c:pt>
                <c:pt idx="3">
                  <c:v>651</c:v>
                </c:pt>
                <c:pt idx="4">
                  <c:v>822</c:v>
                </c:pt>
                <c:pt idx="5">
                  <c:v>966</c:v>
                </c:pt>
                <c:pt idx="6">
                  <c:v>1311</c:v>
                </c:pt>
                <c:pt idx="7">
                  <c:v>1562</c:v>
                </c:pt>
                <c:pt idx="8">
                  <c:v>1794</c:v>
                </c:pt>
                <c:pt idx="9">
                  <c:v>2001</c:v>
                </c:pt>
                <c:pt idx="10">
                  <c:v>2233</c:v>
                </c:pt>
                <c:pt idx="11">
                  <c:v>2449</c:v>
                </c:pt>
                <c:pt idx="12">
                  <c:v>2708</c:v>
                </c:pt>
                <c:pt idx="13">
                  <c:v>2981</c:v>
                </c:pt>
                <c:pt idx="14">
                  <c:v>3278</c:v>
                </c:pt>
              </c:numCache>
            </c:numRef>
          </c:xVal>
          <c:yVal>
            <c:numRef>
              <c:f>'1 Ohm'!$X$3:$X$17</c:f>
              <c:numCache>
                <c:formatCode>0.00000000</c:formatCode>
                <c:ptCount val="15"/>
                <c:pt idx="0">
                  <c:v>1.0000101109042057</c:v>
                </c:pt>
                <c:pt idx="1">
                  <c:v>1.0000103112443512</c:v>
                </c:pt>
                <c:pt idx="2">
                  <c:v>1.0000104819550699</c:v>
                </c:pt>
                <c:pt idx="3">
                  <c:v>1.000010677891773</c:v>
                </c:pt>
                <c:pt idx="4">
                  <c:v>1.0000108294213617</c:v>
                </c:pt>
                <c:pt idx="5">
                  <c:v>1.0000109579140033</c:v>
                </c:pt>
                <c:pt idx="6">
                  <c:v>1.0000112691515479</c:v>
                </c:pt>
                <c:pt idx="7">
                  <c:v>1.0000114986422264</c:v>
                </c:pt>
                <c:pt idx="8">
                  <c:v>1.0000117130532344</c:v>
                </c:pt>
                <c:pt idx="9">
                  <c:v>1.000011906195764</c:v>
                </c:pt>
                <c:pt idx="10">
                  <c:v>1.000012124674436</c:v>
                </c:pt>
                <c:pt idx="11">
                  <c:v>1.0000123299319623</c:v>
                </c:pt>
                <c:pt idx="12">
                  <c:v>1.0000125782901375</c:v>
                </c:pt>
                <c:pt idx="13">
                  <c:v>1.0000128425600801</c:v>
                </c:pt>
                <c:pt idx="14">
                  <c:v>1.000013132740865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B3-4D75-8ACE-12A753176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92688"/>
        <c:axId val="166696432"/>
      </c:scatterChart>
      <c:valAx>
        <c:axId val="16669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6432"/>
        <c:crosses val="autoZero"/>
        <c:crossBetween val="midCat"/>
      </c:valAx>
      <c:valAx>
        <c:axId val="16669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9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744854</xdr:colOff>
      <xdr:row>23</xdr:row>
      <xdr:rowOff>76200</xdr:rowOff>
    </xdr:from>
    <xdr:to>
      <xdr:col>9</xdr:col>
      <xdr:colOff>19049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BA1E4A-4D95-414A-BBEB-83F3CA09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609600</xdr:colOff>
      <xdr:row>20</xdr:row>
      <xdr:rowOff>124778</xdr:rowOff>
    </xdr:from>
    <xdr:to>
      <xdr:col>22</xdr:col>
      <xdr:colOff>66675</xdr:colOff>
      <xdr:row>41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897FCF-C563-43E0-B4C8-D096F4EA2E12}"/>
            </a:ext>
            <a:ext uri="{147F2762-F138-4A5C-976F-8EAC2B608ADB}">
              <a16:predDERef xmlns:a16="http://schemas.microsoft.com/office/drawing/2014/main" pred="{06BA1E4A-4D95-414A-BBEB-83F3CA09C0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25</xdr:col>
      <xdr:colOff>0</xdr:colOff>
      <xdr:row>6</xdr:row>
      <xdr:rowOff>11430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88E716-22B7-49E5-BA9D-5E253DAA2DDC}"/>
            </a:ext>
          </a:extLst>
        </xdr:cNvPr>
        <xdr:cNvSpPr txBox="1"/>
      </xdr:nvSpPr>
      <xdr:spPr>
        <a:xfrm>
          <a:off x="18482310" y="115443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  <xdr:oneCellAnchor>
    <xdr:from>
      <xdr:col>25</xdr:col>
      <xdr:colOff>219075</xdr:colOff>
      <xdr:row>0</xdr:row>
      <xdr:rowOff>20955</xdr:rowOff>
    </xdr:from>
    <xdr:ext cx="3620157" cy="6365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206EFE-A784-460E-AF64-787369DB2AD6}"/>
                </a:ext>
              </a:extLst>
            </xdr:cNvPr>
            <xdr:cNvSpPr txBox="1"/>
          </xdr:nvSpPr>
          <xdr:spPr>
            <a:xfrm>
              <a:off x="17383125" y="20955"/>
              <a:ext cx="3620157" cy="6365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GB" sz="140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𝑦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± 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/2</m:t>
                        </m:r>
                      </m:sub>
                    </m:sSub>
                    <m:r>
                      <a:rPr lang="en-US" sz="1400" b="0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𝑑𝑓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𝑛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−2∗</m:t>
                    </m:r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𝑦𝑥</m:t>
                        </m:r>
                      </m:sub>
                    </m:sSub>
                    <m:rad>
                      <m:radPr>
                        <m:degHide m:val="on"/>
                        <m:ctrlP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r>
                          <a:rPr lang="en-US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  <m:sub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0</m:t>
                                        </m:r>
                                      </m:sub>
                                    </m:sSub>
                                    <m:r>
                                      <a:rPr lang="en-US" sz="1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n-US" sz="1400" b="0" i="1">
                                            <a:latin typeface="Cambria Math" panose="02040503050406030204" pitchFamily="18" charset="0"/>
                                            <a:ea typeface="Cambria Math" panose="02040503050406030204" pitchFamily="18" charset="0"/>
                                          </a:rPr>
                                          <m:t>𝑥</m:t>
                                        </m:r>
                                      </m:e>
                                    </m:acc>
                                  </m:e>
                                </m:d>
                              </m:e>
                              <m:sup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𝑆𝑆</m:t>
                                </m:r>
                              </m:e>
                              <m:sub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sub>
                            </m:sSub>
                          </m:den>
                        </m:f>
                      </m:e>
                    </m:rad>
                  </m:oMath>
                </m:oMathPara>
              </a14:m>
              <a:endParaRPr lang="en-GB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E206EFE-A784-460E-AF64-787369DB2AD6}"/>
                </a:ext>
              </a:extLst>
            </xdr:cNvPr>
            <xdr:cNvSpPr txBox="1"/>
          </xdr:nvSpPr>
          <xdr:spPr>
            <a:xfrm>
              <a:off x="17383125" y="20955"/>
              <a:ext cx="3620157" cy="6365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𝑦</a:t>
              </a:r>
              <a:r>
                <a:rPr lang="en-GB" sz="1400" b="0" i="0">
                  <a:latin typeface="Cambria Math" panose="02040503050406030204" pitchFamily="18" charset="0"/>
                </a:rPr>
                <a:t> ̂_</a:t>
              </a:r>
              <a:r>
                <a:rPr lang="en-US" sz="1400" b="0" i="0">
                  <a:latin typeface="Cambria Math" panose="02040503050406030204" pitchFamily="18" charset="0"/>
                </a:rPr>
                <a:t>0± 𝑡_(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𝛼/2)</a:t>
              </a:r>
              <a:r>
                <a:rPr lang="en-US" sz="1400" b="0" i="0">
                  <a:latin typeface="Cambria Math" panose="02040503050406030204" pitchFamily="18" charset="0"/>
                </a:rPr>
                <a:t>,𝑑𝑓=𝑛−2∗𝑆_𝑦𝑥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√(</a:t>
              </a:r>
              <a:r>
                <a:rPr lang="en-US" sz="1400" b="0" i="0">
                  <a:latin typeface="Cambria Math" panose="02040503050406030204" pitchFamily="18" charset="0"/>
                </a:rPr>
                <a:t>1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+1/𝑛+(𝑥_0−𝑥 ̅ )^2/〖𝑆𝑆〗_𝑥 )</a:t>
              </a:r>
              <a:endParaRPr lang="en-GB" sz="1400"/>
            </a:p>
          </xdr:txBody>
        </xdr:sp>
      </mc:Fallback>
    </mc:AlternateContent>
    <xdr:clientData/>
  </xdr:oneCellAnchor>
  <xdr:oneCellAnchor>
    <xdr:from>
      <xdr:col>26</xdr:col>
      <xdr:colOff>57150</xdr:colOff>
      <xdr:row>5</xdr:row>
      <xdr:rowOff>59055</xdr:rowOff>
    </xdr:from>
    <xdr:ext cx="3416833" cy="4773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DAF8648-AEB7-40F5-B77A-49F608808A07}"/>
                </a:ext>
              </a:extLst>
            </xdr:cNvPr>
            <xdr:cNvSpPr txBox="1"/>
          </xdr:nvSpPr>
          <xdr:spPr>
            <a:xfrm>
              <a:off x="20135850" y="1011555"/>
              <a:ext cx="3416833" cy="477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i="1">
                        <a:latin typeface="Cambria Math" panose="02040503050406030204" pitchFamily="18" charset="0"/>
                      </a:rPr>
                      <m:t>𝑊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h𝑒𝑟𝑒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𝑦𝑥</m:t>
                        </m:r>
                      </m:sub>
                    </m:sSub>
                    <m:r>
                      <a:rPr lang="en-US" sz="1050" b="0" i="1">
                        <a:latin typeface="Cambria Math" panose="02040503050406030204" pitchFamily="18" charset="0"/>
                      </a:rPr>
                      <m:t>= </m:t>
                    </m:r>
                    <m:rad>
                      <m:radPr>
                        <m:degHide m:val="on"/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−2)</m:t>
                            </m:r>
                          </m:den>
                        </m:f>
                        <m:d>
                          <m:dPr>
                            <m:begChr m:val="["/>
                            <m:endChr m:val="]"/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nary>
                              <m:naryPr>
                                <m:chr m:val="∑"/>
                                <m:subHide m:val="on"/>
                                <m:supHide m:val="on"/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/>
                              <m:sup/>
                              <m:e>
                                <m:sSup>
                                  <m:sSupPr>
                                    <m:ctrlP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  <m:t>(</m:t>
                                    </m:r>
                                    <m: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  <m:t>𝑦</m:t>
                                    </m:r>
                                    <m: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̅"/>
                                        <m:ctrlPr>
                                          <a:rPr lang="en-US" sz="105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r>
                                          <a:rPr lang="en-US" sz="1050" b="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</m:acc>
                                    <m: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  <m:t>)</m:t>
                                    </m:r>
                                  </m:e>
                                  <m:sup>
                                    <m: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f>
                                  <m:fPr>
                                    <m:ctrlPr>
                                      <a:rPr lang="en-US" sz="105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p>
                                      <m:sSupPr>
                                        <m:ctrlPr>
                                          <a:rPr lang="en-US" sz="105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pPr>
                                      <m:e>
                                        <m:nary>
                                          <m:naryPr>
                                            <m:chr m:val="∑"/>
                                            <m:subHide m:val="on"/>
                                            <m:supHide m:val="on"/>
                                            <m:ctrlP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naryPr>
                                          <m:sub/>
                                          <m:sup/>
                                          <m:e>
                                            <m:d>
                                              <m:dPr>
                                                <m:begChr m:val="["/>
                                                <m:endChr m:val="]"/>
                                                <m:ctrlP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dPr>
                                              <m:e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(</m:t>
                                                </m:r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𝑥</m:t>
                                                </m:r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−</m:t>
                                                </m:r>
                                                <m:acc>
                                                  <m:accPr>
                                                    <m:chr m:val="̅"/>
                                                    <m:ctrlPr>
                                                      <a:rPr lang="en-US" sz="1050" b="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accPr>
                                                  <m:e>
                                                    <m:r>
                                                      <a:rPr lang="en-US" sz="1050" b="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𝑥</m:t>
                                                    </m:r>
                                                  </m:e>
                                                </m:acc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)(</m:t>
                                                </m:r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𝑦</m:t>
                                                </m:r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−</m:t>
                                                </m:r>
                                                <m:acc>
                                                  <m:accPr>
                                                    <m:chr m:val="̅"/>
                                                    <m:ctrlPr>
                                                      <a:rPr lang="en-US" sz="1050" b="0" i="1">
                                                        <a:latin typeface="Cambria Math" panose="02040503050406030204" pitchFamily="18" charset="0"/>
                                                      </a:rPr>
                                                    </m:ctrlPr>
                                                  </m:accPr>
                                                  <m:e>
                                                    <m:r>
                                                      <a:rPr lang="en-US" sz="1050" b="0" i="1">
                                                        <a:latin typeface="Cambria Math" panose="02040503050406030204" pitchFamily="18" charset="0"/>
                                                      </a:rPr>
                                                      <m:t>𝑦</m:t>
                                                    </m:r>
                                                  </m:e>
                                                </m:acc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)</m:t>
                                                </m:r>
                                              </m:e>
                                            </m:d>
                                          </m:e>
                                        </m:nary>
                                      </m:e>
                                      <m:sup>
                                        <m:r>
                                          <a:rPr lang="en-US" sz="1050" b="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p>
                                  </m:num>
                                  <m:den>
                                    <m:nary>
                                      <m:naryPr>
                                        <m:chr m:val="∑"/>
                                        <m:subHide m:val="on"/>
                                        <m:supHide m:val="on"/>
                                        <m:ctrlPr>
                                          <a:rPr lang="en-US" sz="1050" b="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naryPr>
                                      <m:sub/>
                                      <m:sup/>
                                      <m:e>
                                        <m:sSup>
                                          <m:sSupPr>
                                            <m:ctrlP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pPr>
                                          <m:e>
                                            <m: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  <m:t>(</m:t>
                                            </m:r>
                                            <m: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  <m:t>𝑥</m:t>
                                            </m:r>
                                            <m: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  <m:t>−</m:t>
                                            </m:r>
                                            <m:acc>
                                              <m:accPr>
                                                <m:chr m:val="̅"/>
                                                <m:ctrlP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</m:ctrlPr>
                                              </m:accPr>
                                              <m:e>
                                                <m:r>
                                                  <a:rPr lang="en-US" sz="1050" b="0" i="1">
                                                    <a:latin typeface="Cambria Math" panose="02040503050406030204" pitchFamily="18" charset="0"/>
                                                  </a:rPr>
                                                  <m:t>𝑥</m:t>
                                                </m:r>
                                              </m:e>
                                            </m:acc>
                                            <m: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  <m:t>)</m:t>
                                            </m:r>
                                          </m:e>
                                          <m:sup>
                                            <m:r>
                                              <a:rPr lang="en-US" sz="1050" b="0" i="1">
                                                <a:latin typeface="Cambria Math" panose="02040503050406030204" pitchFamily="18" charset="0"/>
                                              </a:rPr>
                                              <m:t>2</m:t>
                                            </m:r>
                                          </m:sup>
                                        </m:sSup>
                                      </m:e>
                                    </m:nary>
                                  </m:den>
                                </m:f>
                              </m:e>
                            </m:nary>
                          </m:e>
                        </m:d>
                      </m:e>
                    </m:rad>
                  </m:oMath>
                </m:oMathPara>
              </a14:m>
              <a:endParaRPr lang="en-GB" sz="105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DAF8648-AEB7-40F5-B77A-49F608808A07}"/>
                </a:ext>
              </a:extLst>
            </xdr:cNvPr>
            <xdr:cNvSpPr txBox="1"/>
          </xdr:nvSpPr>
          <xdr:spPr>
            <a:xfrm>
              <a:off x="20135850" y="1011555"/>
              <a:ext cx="3416833" cy="4773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050" i="0">
                  <a:latin typeface="Cambria Math" panose="02040503050406030204" pitchFamily="18" charset="0"/>
                </a:rPr>
                <a:t>𝑊</a:t>
              </a:r>
              <a:r>
                <a:rPr lang="en-US" sz="1050" b="0" i="0">
                  <a:latin typeface="Cambria Math" panose="02040503050406030204" pitchFamily="18" charset="0"/>
                </a:rPr>
                <a:t>ℎ𝑒𝑟𝑒 𝑆_𝑦𝑥= √(1/((𝑛−2)) [∑▒〖〖(𝑦−𝑦 ̅)〗^2−∑▒[(𝑥−𝑥 ̅)(𝑦−𝑦 ̅)] ^2/(∑▒〖(𝑥−𝑥 ̅)〗^2 )〗] )</a:t>
              </a:r>
              <a:endParaRPr lang="en-GB" sz="1050"/>
            </a:p>
          </xdr:txBody>
        </xdr:sp>
      </mc:Fallback>
    </mc:AlternateContent>
    <xdr:clientData/>
  </xdr:oneCellAnchor>
  <xdr:oneCellAnchor>
    <xdr:from>
      <xdr:col>27</xdr:col>
      <xdr:colOff>209550</xdr:colOff>
      <xdr:row>10</xdr:row>
      <xdr:rowOff>133350</xdr:rowOff>
    </xdr:from>
    <xdr:ext cx="1377813" cy="3913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545DFC0-AF4B-4E18-A70E-E73FBF9E1ADE}"/>
                </a:ext>
              </a:extLst>
            </xdr:cNvPr>
            <xdr:cNvSpPr txBox="1"/>
          </xdr:nvSpPr>
          <xdr:spPr>
            <a:xfrm>
              <a:off x="20878800" y="2038350"/>
              <a:ext cx="1377813" cy="3913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05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𝑛𝑑</m:t>
                    </m:r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𝑆𝑆</m:t>
                        </m:r>
                      </m:e>
                      <m:sub>
                        <m:r>
                          <a:rPr lang="en-US" sz="1050" b="0" i="1"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</m:sSub>
                    <m:r>
                      <a:rPr lang="en-US" sz="105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050" b="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sSup>
                          <m:sSupPr>
                            <m:ctrlPr>
                              <a:rPr lang="en-US" sz="105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(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acc>
                              <m:accPr>
                                <m:chr m:val="̅"/>
                                <m:ctrlP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05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US" sz="105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</m:nary>
                    <m:r>
                      <a:rPr lang="en-US" sz="105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GB" sz="105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545DFC0-AF4B-4E18-A70E-E73FBF9E1ADE}"/>
                </a:ext>
              </a:extLst>
            </xdr:cNvPr>
            <xdr:cNvSpPr txBox="1"/>
          </xdr:nvSpPr>
          <xdr:spPr>
            <a:xfrm>
              <a:off x="20878800" y="2038350"/>
              <a:ext cx="1377813" cy="3913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050" i="0">
                  <a:latin typeface="Cambria Math" panose="02040503050406030204" pitchFamily="18" charset="0"/>
                </a:rPr>
                <a:t>𝐴</a:t>
              </a:r>
              <a:r>
                <a:rPr lang="en-US" sz="1050" b="0" i="0">
                  <a:latin typeface="Cambria Math" panose="02040503050406030204" pitchFamily="18" charset="0"/>
                </a:rPr>
                <a:t>𝑛𝑑 〖𝑆𝑆〗_𝑥=∑▒〖(𝑥−𝑥 ̅)〗^2   </a:t>
              </a:r>
              <a:endParaRPr lang="en-GB" sz="105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93B30-C65E-4FEF-9EFB-5A06EE4715CF}">
  <sheetPr>
    <tabColor theme="9" tint="0.39997558519241921"/>
  </sheetPr>
  <dimension ref="A1:AG46"/>
  <sheetViews>
    <sheetView tabSelected="1" zoomScaleNormal="100" workbookViewId="0">
      <selection activeCell="C1" sqref="C1"/>
    </sheetView>
  </sheetViews>
  <sheetFormatPr defaultColWidth="8.81640625" defaultRowHeight="11.5" x14ac:dyDescent="0.35"/>
  <cols>
    <col min="1" max="1" width="9.26953125" style="1" bestFit="1" customWidth="1"/>
    <col min="2" max="2" width="18.1796875" style="1" bestFit="1" customWidth="1"/>
    <col min="3" max="3" width="17.26953125" style="1" bestFit="1" customWidth="1"/>
    <col min="4" max="4" width="10.1796875" style="1" bestFit="1" customWidth="1"/>
    <col min="5" max="5" width="11.453125" style="1" bestFit="1" customWidth="1"/>
    <col min="6" max="6" width="12.26953125" style="1" customWidth="1"/>
    <col min="7" max="7" width="8.26953125" style="1" bestFit="1" customWidth="1"/>
    <col min="8" max="8" width="10.453125" style="1" bestFit="1" customWidth="1"/>
    <col min="9" max="9" width="10.453125" style="1" customWidth="1"/>
    <col min="10" max="10" width="10.453125" style="1" bestFit="1" customWidth="1"/>
    <col min="11" max="11" width="1" style="1" customWidth="1"/>
    <col min="12" max="12" width="8.453125" style="1" bestFit="1" customWidth="1"/>
    <col min="13" max="13" width="12" style="1" bestFit="1" customWidth="1"/>
    <col min="14" max="14" width="1" style="1" customWidth="1"/>
    <col min="15" max="15" width="9.26953125" style="1" bestFit="1" customWidth="1"/>
    <col min="16" max="16" width="18.1796875" style="1" bestFit="1" customWidth="1"/>
    <col min="17" max="17" width="17.26953125" style="1" bestFit="1" customWidth="1"/>
    <col min="18" max="18" width="10.1796875" style="1" bestFit="1" customWidth="1"/>
    <col min="19" max="19" width="11.453125" style="1" bestFit="1" customWidth="1"/>
    <col min="20" max="20" width="10.453125" style="1" bestFit="1" customWidth="1"/>
    <col min="21" max="21" width="8.26953125" style="1" bestFit="1" customWidth="1"/>
    <col min="22" max="24" width="10.453125" style="1" bestFit="1" customWidth="1"/>
    <col min="25" max="25" width="1.81640625" style="1" customWidth="1"/>
    <col min="26" max="26" width="8.81640625" style="1"/>
    <col min="27" max="27" width="9.26953125" style="1" bestFit="1" customWidth="1"/>
    <col min="28" max="16384" width="8.81640625" style="1"/>
  </cols>
  <sheetData>
    <row r="1" spans="1:33" ht="14.5" customHeight="1" x14ac:dyDescent="0.35">
      <c r="A1" s="20"/>
      <c r="B1" s="18" t="s">
        <v>0</v>
      </c>
      <c r="C1" s="21" t="s">
        <v>1</v>
      </c>
      <c r="D1" s="21">
        <v>7575006</v>
      </c>
      <c r="E1" s="20"/>
      <c r="F1" s="20"/>
      <c r="G1" s="20"/>
      <c r="H1" s="28" t="s">
        <v>2</v>
      </c>
      <c r="I1" s="28"/>
      <c r="J1" s="28"/>
      <c r="K1" s="16"/>
      <c r="L1" s="29" t="s">
        <v>3</v>
      </c>
      <c r="M1" s="29"/>
      <c r="N1" s="16"/>
      <c r="O1" s="20"/>
      <c r="P1" s="18" t="s">
        <v>0</v>
      </c>
      <c r="Q1" s="21" t="s">
        <v>4</v>
      </c>
      <c r="R1" s="21">
        <v>7575009</v>
      </c>
      <c r="S1" s="20"/>
      <c r="T1" s="20"/>
      <c r="U1" s="20"/>
      <c r="V1" s="28" t="s">
        <v>2</v>
      </c>
      <c r="W1" s="28"/>
      <c r="X1" s="28"/>
      <c r="Z1" s="14"/>
      <c r="AA1" s="14"/>
      <c r="AB1" s="14"/>
      <c r="AC1" s="14"/>
      <c r="AD1" s="14"/>
      <c r="AE1" s="14"/>
      <c r="AF1" s="14"/>
      <c r="AG1" s="14"/>
    </row>
    <row r="2" spans="1:33" ht="13.15" customHeight="1" x14ac:dyDescent="0.35">
      <c r="A2" s="18" t="s">
        <v>5</v>
      </c>
      <c r="B2" s="18" t="s">
        <v>6</v>
      </c>
      <c r="C2" s="18" t="s">
        <v>7</v>
      </c>
      <c r="D2" s="18" t="s">
        <v>8</v>
      </c>
      <c r="E2" s="18" t="s">
        <v>9</v>
      </c>
      <c r="F2" s="19" t="s">
        <v>20</v>
      </c>
      <c r="G2" s="18" t="s">
        <v>10</v>
      </c>
      <c r="H2" s="22" t="s">
        <v>11</v>
      </c>
      <c r="I2" s="22" t="s">
        <v>12</v>
      </c>
      <c r="J2" s="22" t="s">
        <v>13</v>
      </c>
      <c r="K2" s="16"/>
      <c r="L2" s="23" t="s">
        <v>14</v>
      </c>
      <c r="M2" s="17">
        <f>COUNTA($F:$F)-2</f>
        <v>20</v>
      </c>
      <c r="N2" s="16"/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9" t="s">
        <v>20</v>
      </c>
      <c r="U2" s="18" t="s">
        <v>10</v>
      </c>
      <c r="V2" s="22" t="s">
        <v>11</v>
      </c>
      <c r="W2" s="22" t="s">
        <v>12</v>
      </c>
      <c r="X2" s="22" t="s">
        <v>13</v>
      </c>
      <c r="Z2" s="14"/>
      <c r="AA2" s="15"/>
      <c r="AB2" s="14"/>
      <c r="AC2" s="14"/>
      <c r="AD2" s="14"/>
      <c r="AE2" s="14"/>
      <c r="AF2" s="14"/>
      <c r="AG2" s="14"/>
    </row>
    <row r="3" spans="1:33" x14ac:dyDescent="0.35">
      <c r="A3" s="11">
        <v>41127</v>
      </c>
      <c r="B3" s="2">
        <v>0</v>
      </c>
      <c r="C3" s="2">
        <v>0</v>
      </c>
      <c r="D3" s="10">
        <f t="shared" ref="D3:D20" si="0">(F3-1)/1*1000000</f>
        <v>10.099999999901854</v>
      </c>
      <c r="E3" s="10"/>
      <c r="F3" s="7">
        <v>1.0000100999999999</v>
      </c>
      <c r="G3" s="8">
        <v>6.666666666666666E-7</v>
      </c>
      <c r="H3" s="26">
        <f ca="1">_xlfn.FORECAST.LINEAR($C3,Known_ys_PN010001,Known_xs_PN010001)</f>
        <v>1.0000103519091075</v>
      </c>
      <c r="I3" s="26">
        <f t="shared" ref="I3:I23" ca="1" si="1">$H3-ABS(_xlfn.T.INV(0.025,df_PN010001))*(Syx_PN010001*SQRT(1+1/n_PN010001+($C3-XBar_PN010001)^2/SSx_PN010001))</f>
        <v>1.0000098444465892</v>
      </c>
      <c r="J3" s="26">
        <f t="shared" ref="J3:J23" ca="1" si="2">$H3+ABS(_xlfn.T.INV(0.025,df_PN010001))*(Syx_PN010001*SQRT(1+1/n_PN010001+($C3-XBar_PN010001)^2/SSx_PN010001))</f>
        <v>1.0000108593716257</v>
      </c>
      <c r="K3" s="16"/>
      <c r="L3" s="23" t="s">
        <v>15</v>
      </c>
      <c r="M3" s="17">
        <f>n_PN010001-2</f>
        <v>18</v>
      </c>
      <c r="N3" s="16"/>
      <c r="O3" s="11">
        <v>42864</v>
      </c>
      <c r="P3" s="2">
        <v>0</v>
      </c>
      <c r="Q3" s="2">
        <v>0</v>
      </c>
      <c r="R3" s="10">
        <f t="shared" ref="R3:R13" si="3">(T3-1)/1*1000000</f>
        <v>9.3000000001008942</v>
      </c>
      <c r="S3" s="9"/>
      <c r="T3" s="7">
        <v>1.0000093000000001</v>
      </c>
      <c r="U3" s="8">
        <v>3.8000000000000001E-7</v>
      </c>
      <c r="V3" s="26">
        <f t="shared" ref="V3:V15" ca="1" si="4">_xlfn.FORECAST.LINEAR($Q3,Known_ys_PN010022,Known_xs_PN010022)</f>
        <v>1.0000095475802675</v>
      </c>
      <c r="W3" s="26">
        <f t="shared" ref="W3:W17" ca="1" si="5">$V3-ABS(_xlfn.T.INV(0.025,df_PN010022))*(Syx_PN010022*SQRT(1+1/n_PN010022+($Q3-XBar_PN010022)^2/SSx_PN010022))</f>
        <v>1.0000089842563293</v>
      </c>
      <c r="X3" s="26">
        <f t="shared" ref="X3:X17" ca="1" si="6">$V3+ABS(_xlfn.T.INV(0.025,df_PN010022))*(Syx_PN010022*SQRT(1+1/n_PN010022+($Q3-XBar_PN010022)^2/SSx_PN010022))</f>
        <v>1.0000101109042057</v>
      </c>
      <c r="Z3" s="14"/>
      <c r="AA3" s="15"/>
      <c r="AB3" s="14"/>
      <c r="AC3" s="14"/>
      <c r="AD3" s="14"/>
      <c r="AE3" s="14"/>
      <c r="AF3" s="14"/>
      <c r="AG3" s="14"/>
    </row>
    <row r="4" spans="1:33" x14ac:dyDescent="0.35">
      <c r="A4" s="11">
        <v>41318</v>
      </c>
      <c r="B4" s="2">
        <f t="shared" ref="B4:B20" si="7">A4-A3</f>
        <v>191</v>
      </c>
      <c r="C4" s="2">
        <f>SUM($B$4:$B4)</f>
        <v>191</v>
      </c>
      <c r="D4" s="10">
        <f t="shared" si="0"/>
        <v>10.899999999924859</v>
      </c>
      <c r="E4" s="9">
        <f t="shared" ref="E4:E20" si="8">D4-D3</f>
        <v>0.80000000002300453</v>
      </c>
      <c r="F4" s="7">
        <v>1.0000108999999999</v>
      </c>
      <c r="G4" s="8">
        <v>6.666666666666666E-7</v>
      </c>
      <c r="H4" s="26">
        <f t="shared" ref="H4:H23" ca="1" si="9">_xlfn.FORECAST.LINEAR($C4,Known_ys_PN010001,Known_xs_PN010001)</f>
        <v>1.0000106272603657</v>
      </c>
      <c r="I4" s="26">
        <f t="shared" ca="1" si="1"/>
        <v>1.0000101241007995</v>
      </c>
      <c r="J4" s="26">
        <f t="shared" ca="1" si="2"/>
        <v>1.0000111304199319</v>
      </c>
      <c r="K4" s="16"/>
      <c r="L4" s="23" t="s">
        <v>16</v>
      </c>
      <c r="M4" s="24">
        <f ca="1">AVERAGE(OFFSET($C$3,,,COUNTA($C:$C)-3))</f>
        <v>2225.6</v>
      </c>
      <c r="N4" s="16"/>
      <c r="O4" s="11">
        <v>43096</v>
      </c>
      <c r="P4" s="2">
        <f t="shared" ref="P4:P13" si="10">O4-O3</f>
        <v>232</v>
      </c>
      <c r="Q4" s="2">
        <f>SUM($P$4:$P4)</f>
        <v>232</v>
      </c>
      <c r="R4" s="10">
        <f t="shared" si="3"/>
        <v>9.6999999998903519</v>
      </c>
      <c r="S4" s="9">
        <f t="shared" ref="S4:S13" si="11">R4-R3</f>
        <v>0.39999999978945766</v>
      </c>
      <c r="T4" s="7">
        <v>1.0000096999999999</v>
      </c>
      <c r="U4" s="8">
        <v>3.8000000000000001E-7</v>
      </c>
      <c r="V4" s="26">
        <f t="shared" ca="1" si="4"/>
        <v>1.0000097597174853</v>
      </c>
      <c r="W4" s="26">
        <f t="shared" ca="1" si="5"/>
        <v>1.0000092081906193</v>
      </c>
      <c r="X4" s="26">
        <f t="shared" ca="1" si="6"/>
        <v>1.0000103112443512</v>
      </c>
      <c r="Z4" s="14"/>
      <c r="AA4" s="15"/>
      <c r="AB4" s="14"/>
      <c r="AC4" s="14"/>
      <c r="AD4" s="14"/>
      <c r="AE4" s="14"/>
      <c r="AF4" s="14"/>
      <c r="AG4" s="14"/>
    </row>
    <row r="5" spans="1:33" x14ac:dyDescent="0.35">
      <c r="A5" s="11">
        <v>41523</v>
      </c>
      <c r="B5" s="2">
        <f t="shared" si="7"/>
        <v>205</v>
      </c>
      <c r="C5" s="2">
        <f>SUM($B$4:$B5)</f>
        <v>396</v>
      </c>
      <c r="D5" s="10">
        <f t="shared" si="0"/>
        <v>10.999999999983245</v>
      </c>
      <c r="E5" s="9">
        <f t="shared" si="8"/>
        <v>0.10000000005838672</v>
      </c>
      <c r="F5" s="7">
        <v>1.000011</v>
      </c>
      <c r="G5" s="8">
        <v>6.666666666666666E-7</v>
      </c>
      <c r="H5" s="26">
        <f t="shared" ca="1" si="9"/>
        <v>1.0000109227944387</v>
      </c>
      <c r="I5" s="26">
        <f t="shared" ca="1" si="1"/>
        <v>1.0000104238595811</v>
      </c>
      <c r="J5" s="26">
        <f t="shared" ca="1" si="2"/>
        <v>1.0000114217292964</v>
      </c>
      <c r="K5" s="16"/>
      <c r="L5" s="23" t="s">
        <v>17</v>
      </c>
      <c r="M5" s="24">
        <f ca="1">STEYX(OFFSET($F$3,,,n_PN010001),OFFSET($C$3,,,n_PN010001))</f>
        <v>2.2327745275369467E-7</v>
      </c>
      <c r="N5" s="16"/>
      <c r="O5" s="11">
        <v>43292</v>
      </c>
      <c r="P5" s="2">
        <f t="shared" si="10"/>
        <v>196</v>
      </c>
      <c r="Q5" s="2">
        <f>SUM($P$4:$P5)</f>
        <v>428</v>
      </c>
      <c r="R5" s="10">
        <f t="shared" si="3"/>
        <v>9.6099999999932351</v>
      </c>
      <c r="S5" s="9">
        <f t="shared" si="11"/>
        <v>-8.9999999897116822E-2</v>
      </c>
      <c r="T5" s="7">
        <v>1.00000961</v>
      </c>
      <c r="U5" s="8">
        <v>2.4999999999999999E-7</v>
      </c>
      <c r="V5" s="26">
        <f t="shared" ca="1" si="4"/>
        <v>1.0000099389368589</v>
      </c>
      <c r="W5" s="26">
        <f t="shared" ca="1" si="5"/>
        <v>1.0000093959186478</v>
      </c>
      <c r="X5" s="26">
        <f t="shared" ca="1" si="6"/>
        <v>1.0000104819550699</v>
      </c>
      <c r="Z5" s="14"/>
      <c r="AA5" s="15"/>
      <c r="AB5" s="14"/>
      <c r="AC5" s="14"/>
      <c r="AD5" s="14"/>
      <c r="AE5" s="14"/>
      <c r="AF5" s="14"/>
      <c r="AG5" s="14"/>
    </row>
    <row r="6" spans="1:33" x14ac:dyDescent="0.35">
      <c r="A6" s="11">
        <v>41738</v>
      </c>
      <c r="B6" s="2">
        <f t="shared" si="7"/>
        <v>215</v>
      </c>
      <c r="C6" s="2">
        <f>SUM($B$4:$B6)</f>
        <v>611</v>
      </c>
      <c r="D6" s="10">
        <f t="shared" si="0"/>
        <v>11.399999999994748</v>
      </c>
      <c r="E6" s="9">
        <f t="shared" si="8"/>
        <v>0.40000000001150227</v>
      </c>
      <c r="F6" s="7">
        <v>1.0000114</v>
      </c>
      <c r="G6" s="8">
        <v>5.9999999999999997E-7</v>
      </c>
      <c r="H6" s="26">
        <f t="shared" ca="1" si="9"/>
        <v>1.0000112327448081</v>
      </c>
      <c r="I6" s="26">
        <f t="shared" ca="1" si="1"/>
        <v>1.0000107377917682</v>
      </c>
      <c r="J6" s="26">
        <f t="shared" ca="1" si="2"/>
        <v>1.000011727697848</v>
      </c>
      <c r="K6" s="16"/>
      <c r="L6" s="23" t="s">
        <v>18</v>
      </c>
      <c r="M6" s="24">
        <f ca="1">DEVSQ(OFFSET($C$3,,,n_PN010001))</f>
        <v>41173488.799999997</v>
      </c>
      <c r="N6" s="16"/>
      <c r="O6" s="11">
        <v>43515</v>
      </c>
      <c r="P6" s="2">
        <f t="shared" si="10"/>
        <v>223</v>
      </c>
      <c r="Q6" s="2">
        <f>SUM($P$4:$P6)</f>
        <v>651</v>
      </c>
      <c r="R6" s="10">
        <f t="shared" si="3"/>
        <v>10.449999999995185</v>
      </c>
      <c r="S6" s="9">
        <f t="shared" si="11"/>
        <v>0.8400000000019503</v>
      </c>
      <c r="T6" s="7">
        <v>1.00001045</v>
      </c>
      <c r="U6" s="8">
        <v>3.3999999999999997E-7</v>
      </c>
      <c r="V6" s="26">
        <f t="shared" ca="1" si="4"/>
        <v>1.0000101428446155</v>
      </c>
      <c r="W6" s="26">
        <f t="shared" ca="1" si="5"/>
        <v>1.0000096077974581</v>
      </c>
      <c r="X6" s="26">
        <f t="shared" ca="1" si="6"/>
        <v>1.000010677891773</v>
      </c>
      <c r="Z6" s="14"/>
      <c r="AA6" s="15"/>
      <c r="AB6" s="14"/>
      <c r="AC6" s="14"/>
      <c r="AD6" s="14"/>
      <c r="AE6" s="14"/>
      <c r="AF6" s="14"/>
      <c r="AG6" s="14"/>
    </row>
    <row r="7" spans="1:33" x14ac:dyDescent="0.35">
      <c r="A7" s="11">
        <v>41946</v>
      </c>
      <c r="B7" s="2">
        <f t="shared" si="7"/>
        <v>208</v>
      </c>
      <c r="C7" s="2">
        <f>SUM($B$4:$B7)</f>
        <v>819</v>
      </c>
      <c r="D7" s="10">
        <f t="shared" si="0"/>
        <v>11.599999999889476</v>
      </c>
      <c r="E7" s="9">
        <f t="shared" si="8"/>
        <v>0.19999999989472883</v>
      </c>
      <c r="F7" s="7">
        <v>1.0000115999999999</v>
      </c>
      <c r="G7" s="8">
        <v>3.8000000000000001E-7</v>
      </c>
      <c r="H7" s="26">
        <f t="shared" ca="1" si="9"/>
        <v>1.00001153260377</v>
      </c>
      <c r="I7" s="26">
        <f t="shared" ca="1" si="1"/>
        <v>1.0000110410551013</v>
      </c>
      <c r="J7" s="26">
        <f t="shared" ca="1" si="2"/>
        <v>1.0000120241524386</v>
      </c>
      <c r="K7" s="16"/>
      <c r="L7" s="16"/>
      <c r="M7" s="16"/>
      <c r="N7" s="16"/>
      <c r="O7" s="11">
        <v>43686</v>
      </c>
      <c r="P7" s="2">
        <f t="shared" si="10"/>
        <v>171</v>
      </c>
      <c r="Q7" s="2">
        <f>SUM($P$4:$P7)</f>
        <v>822</v>
      </c>
      <c r="R7" s="10">
        <f t="shared" si="3"/>
        <v>10.199999999960241</v>
      </c>
      <c r="S7" s="9">
        <f t="shared" si="11"/>
        <v>-0.25000000003494449</v>
      </c>
      <c r="T7" s="7">
        <v>1.0000102</v>
      </c>
      <c r="U7" s="8">
        <v>3.3999999999999997E-7</v>
      </c>
      <c r="V7" s="26">
        <f t="shared" ca="1" si="4"/>
        <v>1.0000102992043751</v>
      </c>
      <c r="W7" s="26">
        <f t="shared" ca="1" si="5"/>
        <v>1.0000097689873886</v>
      </c>
      <c r="X7" s="26">
        <f t="shared" ca="1" si="6"/>
        <v>1.0000108294213617</v>
      </c>
      <c r="Z7" s="14"/>
      <c r="AA7" s="15"/>
      <c r="AB7" s="14"/>
      <c r="AC7" s="14"/>
      <c r="AD7" s="14"/>
      <c r="AE7" s="14"/>
      <c r="AF7" s="14"/>
      <c r="AG7" s="14"/>
    </row>
    <row r="8" spans="1:33" ht="12" x14ac:dyDescent="0.35">
      <c r="A8" s="11">
        <v>42163</v>
      </c>
      <c r="B8" s="2">
        <f t="shared" si="7"/>
        <v>217</v>
      </c>
      <c r="C8" s="2">
        <f>SUM($B$4:$B8)</f>
        <v>1036</v>
      </c>
      <c r="D8" s="10">
        <f t="shared" si="0"/>
        <v>11.699999999947863</v>
      </c>
      <c r="E8" s="9">
        <f t="shared" si="8"/>
        <v>0.10000000005838672</v>
      </c>
      <c r="F8" s="7">
        <v>1.0000116999999999</v>
      </c>
      <c r="G8" s="8">
        <v>3.8000000000000001E-7</v>
      </c>
      <c r="H8" s="26">
        <f t="shared" ca="1" si="9"/>
        <v>1.0000118454373985</v>
      </c>
      <c r="I8" s="26">
        <f t="shared" ca="1" si="1"/>
        <v>1.0000113569609519</v>
      </c>
      <c r="J8" s="26">
        <f t="shared" ca="1" si="2"/>
        <v>1.0000123339138451</v>
      </c>
      <c r="K8" s="16"/>
      <c r="L8" s="29" t="s">
        <v>19</v>
      </c>
      <c r="M8" s="29"/>
      <c r="N8" s="16"/>
      <c r="O8" s="11">
        <v>43830</v>
      </c>
      <c r="P8" s="2">
        <f t="shared" si="10"/>
        <v>144</v>
      </c>
      <c r="Q8" s="2">
        <f>SUM($P$4:$P8)</f>
        <v>966</v>
      </c>
      <c r="R8" s="10">
        <f t="shared" si="3"/>
        <v>10.980000000104795</v>
      </c>
      <c r="S8" s="9">
        <f t="shared" si="11"/>
        <v>0.78000000014455395</v>
      </c>
      <c r="T8" s="7">
        <v>1.0000109800000001</v>
      </c>
      <c r="U8" s="8">
        <v>3.3999999999999997E-7</v>
      </c>
      <c r="V8" s="26">
        <f t="shared" ca="1" si="4"/>
        <v>1.0000104308757518</v>
      </c>
      <c r="W8" s="26">
        <f t="shared" ca="1" si="5"/>
        <v>1.0000099038375003</v>
      </c>
      <c r="X8" s="26">
        <f t="shared" ca="1" si="6"/>
        <v>1.0000109579140033</v>
      </c>
      <c r="Z8" s="14"/>
      <c r="AA8" s="15"/>
      <c r="AB8" s="14"/>
      <c r="AC8" s="14"/>
      <c r="AD8" s="14"/>
      <c r="AE8" s="14"/>
      <c r="AF8" s="14"/>
      <c r="AG8" s="14"/>
    </row>
    <row r="9" spans="1:33" x14ac:dyDescent="0.35">
      <c r="A9" s="11">
        <v>42381</v>
      </c>
      <c r="B9" s="2">
        <f t="shared" si="7"/>
        <v>218</v>
      </c>
      <c r="C9" s="2">
        <f>SUM($B$4:$B9)</f>
        <v>1254</v>
      </c>
      <c r="D9" s="10">
        <f t="shared" si="0"/>
        <v>11.760000000027304</v>
      </c>
      <c r="E9" s="9">
        <f t="shared" si="8"/>
        <v>6.0000000079440952E-2</v>
      </c>
      <c r="F9" s="7">
        <v>1.00001176</v>
      </c>
      <c r="G9" s="8">
        <v>3.8000000000000001E-7</v>
      </c>
      <c r="H9" s="26">
        <f t="shared" ca="1" si="9"/>
        <v>1.0000121597126568</v>
      </c>
      <c r="I9" s="26">
        <f t="shared" ca="1" si="1"/>
        <v>1.0000116738203741</v>
      </c>
      <c r="J9" s="26">
        <f t="shared" ca="1" si="2"/>
        <v>1.0000126456049394</v>
      </c>
      <c r="K9" s="16"/>
      <c r="L9" s="23" t="s">
        <v>14</v>
      </c>
      <c r="M9" s="17">
        <f>COUNTA($T:$T)-2</f>
        <v>14</v>
      </c>
      <c r="N9" s="16"/>
      <c r="O9" s="11">
        <v>44175</v>
      </c>
      <c r="P9" s="2">
        <f t="shared" si="10"/>
        <v>345</v>
      </c>
      <c r="Q9" s="2">
        <f>SUM($P$4:$P9)</f>
        <v>1311</v>
      </c>
      <c r="R9" s="10">
        <f t="shared" si="3"/>
        <v>10.980000000104795</v>
      </c>
      <c r="S9" s="9">
        <f t="shared" si="11"/>
        <v>0</v>
      </c>
      <c r="T9" s="7">
        <v>1.0000109800000001</v>
      </c>
      <c r="U9" s="8">
        <v>3.3999999999999997E-7</v>
      </c>
      <c r="V9" s="26">
        <f t="shared" ca="1" si="4"/>
        <v>1.0000107463384247</v>
      </c>
      <c r="W9" s="26">
        <f t="shared" ca="1" si="5"/>
        <v>1.0000102235253014</v>
      </c>
      <c r="X9" s="26">
        <f t="shared" ca="1" si="6"/>
        <v>1.0000112691515479</v>
      </c>
      <c r="Z9" s="14"/>
      <c r="AA9" s="15"/>
      <c r="AB9" s="14"/>
      <c r="AC9" s="14"/>
      <c r="AD9" s="14"/>
      <c r="AE9" s="14"/>
      <c r="AF9" s="14"/>
      <c r="AG9" s="14"/>
    </row>
    <row r="10" spans="1:33" x14ac:dyDescent="0.35">
      <c r="A10" s="11">
        <v>42676</v>
      </c>
      <c r="B10" s="2">
        <f t="shared" si="7"/>
        <v>295</v>
      </c>
      <c r="C10" s="2">
        <f>SUM($B$4:$B10)</f>
        <v>1549</v>
      </c>
      <c r="D10" s="10">
        <f t="shared" si="0"/>
        <v>12.09000000002014</v>
      </c>
      <c r="E10" s="9">
        <f t="shared" si="8"/>
        <v>0.32999999999283602</v>
      </c>
      <c r="F10" s="7">
        <v>1.00001209</v>
      </c>
      <c r="G10" s="8">
        <v>3.8000000000000001E-7</v>
      </c>
      <c r="H10" s="26">
        <f t="shared" ca="1" si="9"/>
        <v>1.0000125849933958</v>
      </c>
      <c r="I10" s="26">
        <f t="shared" ca="1" si="1"/>
        <v>1.0000121017824652</v>
      </c>
      <c r="J10" s="26">
        <f t="shared" ca="1" si="2"/>
        <v>1.0000130682043264</v>
      </c>
      <c r="K10" s="16"/>
      <c r="L10" s="23" t="s">
        <v>15</v>
      </c>
      <c r="M10" s="17">
        <f>n_PN010022-2</f>
        <v>12</v>
      </c>
      <c r="N10" s="16"/>
      <c r="O10" s="11">
        <v>44426</v>
      </c>
      <c r="P10" s="2">
        <f t="shared" si="10"/>
        <v>251</v>
      </c>
      <c r="Q10" s="2">
        <f>SUM($P$4:$P10)</f>
        <v>1562</v>
      </c>
      <c r="R10" s="10">
        <f t="shared" si="3"/>
        <v>10.819999999966967</v>
      </c>
      <c r="S10" s="9">
        <f t="shared" si="11"/>
        <v>-0.16000000013782767</v>
      </c>
      <c r="T10" s="7">
        <v>1.00001082</v>
      </c>
      <c r="U10" s="8">
        <v>3.3999999999999997E-7</v>
      </c>
      <c r="V10" s="26">
        <f t="shared" ca="1" si="4"/>
        <v>1.000010975848949</v>
      </c>
      <c r="W10" s="26">
        <f t="shared" ca="1" si="5"/>
        <v>1.0000104530556717</v>
      </c>
      <c r="X10" s="26">
        <f t="shared" ca="1" si="6"/>
        <v>1.0000114986422264</v>
      </c>
      <c r="Z10" s="14"/>
      <c r="AA10" s="15"/>
      <c r="AB10" s="14"/>
      <c r="AC10" s="14"/>
      <c r="AD10" s="14"/>
      <c r="AE10" s="14"/>
      <c r="AF10" s="14"/>
      <c r="AG10" s="14"/>
    </row>
    <row r="11" spans="1:33" x14ac:dyDescent="0.35">
      <c r="A11" s="11">
        <v>42983</v>
      </c>
      <c r="B11" s="2">
        <f t="shared" si="7"/>
        <v>307</v>
      </c>
      <c r="C11" s="2">
        <f>SUM($B$4:$B11)</f>
        <v>1856</v>
      </c>
      <c r="D11" s="10">
        <f t="shared" si="0"/>
        <v>13.100000000099143</v>
      </c>
      <c r="E11" s="9">
        <f t="shared" si="8"/>
        <v>1.0100000000790033</v>
      </c>
      <c r="F11" s="7">
        <v>1.0000131000000001</v>
      </c>
      <c r="G11" s="8">
        <v>3.8000000000000001E-7</v>
      </c>
      <c r="H11" s="26">
        <f t="shared" ca="1" si="9"/>
        <v>1.0000130275736907</v>
      </c>
      <c r="I11" s="26">
        <f t="shared" ca="1" si="1"/>
        <v>1.0000125461421809</v>
      </c>
      <c r="J11" s="26">
        <f t="shared" ca="1" si="2"/>
        <v>1.0000135090052005</v>
      </c>
      <c r="K11" s="16"/>
      <c r="L11" s="23" t="s">
        <v>16</v>
      </c>
      <c r="M11" s="24">
        <f ca="1">AVERAGE(OFFSET($Q$3,,,COUNTA($Q:$Q)-3))</f>
        <v>1438.4285714285713</v>
      </c>
      <c r="N11" s="16"/>
      <c r="O11" s="11">
        <v>44658</v>
      </c>
      <c r="P11" s="2">
        <f t="shared" si="10"/>
        <v>232</v>
      </c>
      <c r="Q11" s="2">
        <f>SUM($P$4:$P11)</f>
        <v>1794</v>
      </c>
      <c r="R11" s="10">
        <f t="shared" si="3"/>
        <v>11.170000000060298</v>
      </c>
      <c r="S11" s="9">
        <f t="shared" si="11"/>
        <v>0.35000000009333121</v>
      </c>
      <c r="T11" s="7">
        <v>1.0000111700000001</v>
      </c>
      <c r="U11" s="8">
        <v>3.3999999999999997E-7</v>
      </c>
      <c r="V11" s="26">
        <f t="shared" ca="1" si="4"/>
        <v>1.0000111879861668</v>
      </c>
      <c r="W11" s="26">
        <f t="shared" ca="1" si="5"/>
        <v>1.0000106629190992</v>
      </c>
      <c r="X11" s="26">
        <f t="shared" ca="1" si="6"/>
        <v>1.0000117130532344</v>
      </c>
      <c r="Z11" s="14"/>
      <c r="AA11" s="15"/>
      <c r="AB11" s="14"/>
      <c r="AC11" s="14"/>
      <c r="AD11" s="14"/>
      <c r="AE11" s="14"/>
      <c r="AF11" s="14"/>
      <c r="AG11" s="14"/>
    </row>
    <row r="12" spans="1:33" x14ac:dyDescent="0.35">
      <c r="A12" s="11">
        <v>43188</v>
      </c>
      <c r="B12" s="2">
        <f t="shared" si="7"/>
        <v>205</v>
      </c>
      <c r="C12" s="2">
        <f>SUM($B$4:$B12)</f>
        <v>2061</v>
      </c>
      <c r="D12" s="10">
        <f t="shared" si="0"/>
        <v>13.599999999946988</v>
      </c>
      <c r="E12" s="9">
        <f t="shared" si="8"/>
        <v>0.49999999984784438</v>
      </c>
      <c r="F12" s="7">
        <v>1.0000135999999999</v>
      </c>
      <c r="G12" s="8">
        <v>3.8000000000000001E-7</v>
      </c>
      <c r="H12" s="26">
        <f t="shared" ca="1" si="9"/>
        <v>1.0000133231077637</v>
      </c>
      <c r="I12" s="26">
        <f t="shared" ca="1" si="1"/>
        <v>1.0000128422844723</v>
      </c>
      <c r="J12" s="26">
        <f t="shared" ca="1" si="2"/>
        <v>1.0000138039310551</v>
      </c>
      <c r="K12" s="16"/>
      <c r="L12" s="23" t="s">
        <v>17</v>
      </c>
      <c r="M12" s="24">
        <f ca="1">STEYX(OFFSET($T$3,,,n_PN010001),OFFSET($Q$3,,,n_PN010001))</f>
        <v>2.3166918361692767E-7</v>
      </c>
      <c r="N12" s="16"/>
      <c r="O12" s="11">
        <v>44865</v>
      </c>
      <c r="P12" s="2">
        <f t="shared" si="10"/>
        <v>207</v>
      </c>
      <c r="Q12" s="2">
        <f>SUM($P$4:$P12)</f>
        <v>2001</v>
      </c>
      <c r="R12" s="1">
        <f t="shared" si="3"/>
        <v>11.350000000076577</v>
      </c>
      <c r="S12" s="9">
        <f t="shared" si="11"/>
        <v>0.18000000001627825</v>
      </c>
      <c r="T12" s="7">
        <v>1.0000113500000001</v>
      </c>
      <c r="U12" s="8">
        <v>3.3999999999999997E-7</v>
      </c>
      <c r="V12" s="26">
        <f t="shared" ca="1" si="4"/>
        <v>1.0000113772637707</v>
      </c>
      <c r="W12" s="26">
        <f t="shared" ca="1" si="5"/>
        <v>1.0000108483317773</v>
      </c>
      <c r="X12" s="26">
        <f t="shared" ca="1" si="6"/>
        <v>1.000011906195764</v>
      </c>
      <c r="Z12" s="14"/>
      <c r="AA12" s="15"/>
      <c r="AB12" s="14"/>
      <c r="AC12" s="14"/>
      <c r="AD12" s="14"/>
      <c r="AE12" s="14"/>
      <c r="AF12" s="14"/>
      <c r="AG12" s="14"/>
    </row>
    <row r="13" spans="1:33" x14ac:dyDescent="0.35">
      <c r="A13" s="11">
        <v>43391</v>
      </c>
      <c r="B13" s="2">
        <f t="shared" si="7"/>
        <v>203</v>
      </c>
      <c r="C13" s="2">
        <f>SUM($B$4:$B13)</f>
        <v>2264</v>
      </c>
      <c r="D13" s="10">
        <f t="shared" si="0"/>
        <v>13.700000000005375</v>
      </c>
      <c r="E13" s="9">
        <f t="shared" si="8"/>
        <v>0.10000000005838672</v>
      </c>
      <c r="F13" s="7">
        <v>1.0000137</v>
      </c>
      <c r="G13" s="8">
        <v>3.8000000000000001E-7</v>
      </c>
      <c r="H13" s="26">
        <f t="shared" ca="1" si="9"/>
        <v>1.0000136157585775</v>
      </c>
      <c r="I13" s="26">
        <f t="shared" ca="1" si="1"/>
        <v>1.0000131350776817</v>
      </c>
      <c r="J13" s="26">
        <f t="shared" ca="1" si="2"/>
        <v>1.0000140964394733</v>
      </c>
      <c r="K13" s="16"/>
      <c r="L13" s="23" t="s">
        <v>18</v>
      </c>
      <c r="M13" s="24">
        <f ca="1">DEVSQ(OFFSET($Q$3,,,n_PN010022))</f>
        <v>11887091.428571429</v>
      </c>
      <c r="N13" s="16"/>
      <c r="O13" s="11">
        <v>45097</v>
      </c>
      <c r="P13" s="2">
        <f t="shared" si="10"/>
        <v>232</v>
      </c>
      <c r="Q13" s="2">
        <f>SUM($P$4:$P13)</f>
        <v>2233</v>
      </c>
      <c r="R13" s="1">
        <f t="shared" si="3"/>
        <v>11.559999999910531</v>
      </c>
      <c r="S13" s="9">
        <f t="shared" si="11"/>
        <v>0.20999999983395412</v>
      </c>
      <c r="T13" s="7">
        <v>1.0000115599999999</v>
      </c>
      <c r="U13" s="8">
        <v>3.3999999999999997E-7</v>
      </c>
      <c r="V13" s="26">
        <f t="shared" ca="1" si="4"/>
        <v>1.0000115894009884</v>
      </c>
      <c r="W13" s="26">
        <f t="shared" ca="1" si="5"/>
        <v>1.0000110541275409</v>
      </c>
      <c r="X13" s="26">
        <f t="shared" ca="1" si="6"/>
        <v>1.000012124674436</v>
      </c>
      <c r="Z13" s="14"/>
      <c r="AA13" s="15"/>
      <c r="AB13" s="14"/>
      <c r="AC13" s="14"/>
      <c r="AD13" s="14"/>
      <c r="AE13" s="14"/>
      <c r="AF13" s="14"/>
      <c r="AG13" s="14"/>
    </row>
    <row r="14" spans="1:33" ht="14.5" x14ac:dyDescent="0.35">
      <c r="A14" s="11">
        <v>43598</v>
      </c>
      <c r="B14" s="2">
        <f t="shared" si="7"/>
        <v>207</v>
      </c>
      <c r="C14" s="2">
        <f>SUM($B$4:$B14)</f>
        <v>2471</v>
      </c>
      <c r="D14" s="10">
        <f t="shared" si="0"/>
        <v>14.160000000096318</v>
      </c>
      <c r="E14" s="9">
        <f t="shared" si="8"/>
        <v>0.46000000009094322</v>
      </c>
      <c r="F14" s="7">
        <v>1.0000141600000001</v>
      </c>
      <c r="G14" s="8">
        <v>3.3999999999999997E-7</v>
      </c>
      <c r="H14" s="26">
        <f t="shared" ca="1" si="9"/>
        <v>1.0000139141759097</v>
      </c>
      <c r="I14" s="26">
        <f t="shared" ca="1" si="1"/>
        <v>1.000013433168546</v>
      </c>
      <c r="J14" s="26">
        <f t="shared" ca="1" si="2"/>
        <v>1.0000143951832734</v>
      </c>
      <c r="K14" s="25"/>
      <c r="L14" s="25"/>
      <c r="M14" s="25"/>
      <c r="N14" s="25"/>
      <c r="O14" s="11">
        <v>45313</v>
      </c>
      <c r="P14" s="2">
        <f t="shared" ref="P14" si="12">O14-O13</f>
        <v>216</v>
      </c>
      <c r="Q14" s="2">
        <f>SUM($P$4:$P14)</f>
        <v>2449</v>
      </c>
      <c r="R14" s="1">
        <f t="shared" ref="R14:R15" si="13">(T14-1)/1*1000000</f>
        <v>11.870000000024916</v>
      </c>
      <c r="S14" s="9">
        <f t="shared" ref="S14:S15" si="14">R14-R13</f>
        <v>0.31000000011438544</v>
      </c>
      <c r="T14" s="7">
        <v>1.00001187</v>
      </c>
      <c r="U14" s="8">
        <v>3.3999999999999997E-7</v>
      </c>
      <c r="V14" s="26">
        <f t="shared" ca="1" si="4"/>
        <v>1.0000117869080531</v>
      </c>
      <c r="W14" s="26">
        <f t="shared" ca="1" si="5"/>
        <v>1.000011243884144</v>
      </c>
      <c r="X14" s="26">
        <f t="shared" ca="1" si="6"/>
        <v>1.0000123299319623</v>
      </c>
      <c r="Z14" s="14"/>
      <c r="AA14" s="15"/>
      <c r="AB14" s="14"/>
      <c r="AC14" s="14"/>
      <c r="AD14" s="14"/>
      <c r="AE14" s="14"/>
      <c r="AF14" s="14"/>
      <c r="AG14" s="14"/>
    </row>
    <row r="15" spans="1:33" x14ac:dyDescent="0.35">
      <c r="A15" s="11">
        <v>43970</v>
      </c>
      <c r="B15" s="2">
        <f t="shared" si="7"/>
        <v>372</v>
      </c>
      <c r="C15" s="2">
        <f>SUM($B$4:$B15)</f>
        <v>2843</v>
      </c>
      <c r="D15" s="10">
        <f t="shared" si="0"/>
        <v>14.667000000079256</v>
      </c>
      <c r="E15" s="9">
        <f t="shared" si="8"/>
        <v>0.50699999998293777</v>
      </c>
      <c r="F15" s="7">
        <v>1.0000146670000001</v>
      </c>
      <c r="G15" s="8">
        <v>2.4999999999999999E-7</v>
      </c>
      <c r="H15" s="26">
        <f t="shared" ca="1" si="9"/>
        <v>1.0000144504621302</v>
      </c>
      <c r="I15" s="26">
        <f t="shared" ca="1" si="1"/>
        <v>1.0000139676750102</v>
      </c>
      <c r="J15" s="26">
        <f t="shared" ca="1" si="2"/>
        <v>1.0000149332492503</v>
      </c>
      <c r="L15" s="12"/>
      <c r="M15" s="12"/>
      <c r="O15" s="11">
        <v>45572</v>
      </c>
      <c r="P15" s="2">
        <f>O15-O14</f>
        <v>259</v>
      </c>
      <c r="Q15" s="2">
        <f>SUM($P$4:$P15)</f>
        <v>2708</v>
      </c>
      <c r="R15" s="1">
        <f t="shared" si="13"/>
        <v>11.989999999961753</v>
      </c>
      <c r="S15" s="9">
        <f t="shared" si="14"/>
        <v>0.1199999999368373</v>
      </c>
      <c r="T15" s="7">
        <v>1.00001199</v>
      </c>
      <c r="U15" s="8">
        <v>3.3999999999999997E-7</v>
      </c>
      <c r="V15" s="26">
        <f t="shared" ca="1" si="4"/>
        <v>1.0000120237336541</v>
      </c>
      <c r="W15" s="26">
        <f t="shared" ca="1" si="5"/>
        <v>1.0000114691771707</v>
      </c>
      <c r="X15" s="26">
        <f t="shared" ca="1" si="6"/>
        <v>1.0000125782901375</v>
      </c>
      <c r="Z15" s="14"/>
      <c r="AA15" s="15"/>
      <c r="AB15" s="14"/>
      <c r="AC15" s="14"/>
      <c r="AD15" s="14"/>
      <c r="AE15" s="14"/>
      <c r="AF15" s="14"/>
      <c r="AG15" s="14"/>
    </row>
    <row r="16" spans="1:33" x14ac:dyDescent="0.35">
      <c r="A16" s="11">
        <v>44322</v>
      </c>
      <c r="B16" s="2">
        <f t="shared" si="7"/>
        <v>352</v>
      </c>
      <c r="C16" s="2">
        <f>SUM($B$4:$B16)</f>
        <v>3195</v>
      </c>
      <c r="D16" s="10">
        <f t="shared" si="0"/>
        <v>15.061000000038405</v>
      </c>
      <c r="E16" s="9">
        <f t="shared" si="8"/>
        <v>0.39399999995914925</v>
      </c>
      <c r="F16" s="7">
        <v>1.000015061</v>
      </c>
      <c r="G16" s="8">
        <v>3.3999999999999997E-7</v>
      </c>
      <c r="H16" s="26">
        <f t="shared" ca="1" si="9"/>
        <v>1.000014957915758</v>
      </c>
      <c r="I16" s="26">
        <f t="shared" ca="1" si="1"/>
        <v>1.0000144720469599</v>
      </c>
      <c r="J16" s="26">
        <f t="shared" ca="1" si="2"/>
        <v>1.0000154437845561</v>
      </c>
      <c r="L16" s="13"/>
      <c r="M16" s="12"/>
      <c r="O16" s="11">
        <v>45845</v>
      </c>
      <c r="P16" s="2">
        <f>O16-O15</f>
        <v>273</v>
      </c>
      <c r="Q16" s="2">
        <f>SUM($P$4:$P16)</f>
        <v>2981</v>
      </c>
      <c r="R16" s="1">
        <f t="shared" ref="R16" si="15">(T16-1)/1*1000000</f>
        <v>12.099999999959365</v>
      </c>
      <c r="S16" s="9">
        <f t="shared" ref="S16" si="16">R16-R15</f>
        <v>0.10999999999761201</v>
      </c>
      <c r="T16" s="7">
        <v>1.0000121</v>
      </c>
      <c r="U16" s="8">
        <v>3.3999999999999997E-7</v>
      </c>
      <c r="V16" s="26">
        <f ca="1">_xlfn.FORECAST.LINEAR($Q16,Known_ys_PN010022,Known_xs_PN010022)</f>
        <v>1.0000122733606387</v>
      </c>
      <c r="W16" s="26">
        <f t="shared" ca="1" si="5"/>
        <v>1.0000117041611973</v>
      </c>
      <c r="X16" s="26">
        <f t="shared" ca="1" si="6"/>
        <v>1.0000128425600801</v>
      </c>
      <c r="AA16" s="7"/>
    </row>
    <row r="17" spans="1:27" x14ac:dyDescent="0.35">
      <c r="A17" s="11">
        <v>44550</v>
      </c>
      <c r="B17" s="2">
        <f t="shared" si="7"/>
        <v>228</v>
      </c>
      <c r="C17" s="2">
        <f>SUM($B$4:$B17)</f>
        <v>3423</v>
      </c>
      <c r="D17" s="10">
        <f t="shared" si="0"/>
        <v>15.330000000091104</v>
      </c>
      <c r="E17" s="9">
        <f t="shared" si="8"/>
        <v>0.26900000005269931</v>
      </c>
      <c r="F17" s="1">
        <v>1.0000153300000001</v>
      </c>
      <c r="G17" s="8">
        <v>3.3999999999999997E-7</v>
      </c>
      <c r="H17" s="26">
        <f t="shared" ca="1" si="9"/>
        <v>1.0000152866073124</v>
      </c>
      <c r="I17" s="26">
        <f t="shared" ca="1" si="1"/>
        <v>1.0000147980290255</v>
      </c>
      <c r="J17" s="26">
        <f t="shared" ca="1" si="2"/>
        <v>1.0000157751855994</v>
      </c>
      <c r="O17" s="11">
        <v>46142</v>
      </c>
      <c r="P17" s="2">
        <f>O17-O16</f>
        <v>297</v>
      </c>
      <c r="Q17" s="2">
        <f>SUM($P$4:$P17)</f>
        <v>3278</v>
      </c>
      <c r="R17" s="1">
        <f t="shared" ref="R17" si="17">(T17-1)/1*1000000</f>
        <v>12.549999999889039</v>
      </c>
      <c r="S17" s="9">
        <f t="shared" ref="S17" si="18">R17-R16</f>
        <v>0.44999999992967332</v>
      </c>
      <c r="T17" s="7">
        <v>1.0000125499999999</v>
      </c>
      <c r="U17" s="8">
        <v>3.3999999999999997E-7</v>
      </c>
      <c r="V17" s="26">
        <f ca="1">_xlfn.FORECAST.LINEAR($Q17,Known_ys_PN010022,Known_xs_PN010022)</f>
        <v>1.0000125449328527</v>
      </c>
      <c r="W17" s="26">
        <f t="shared" ca="1" si="5"/>
        <v>1.0000119571248405</v>
      </c>
      <c r="X17" s="26">
        <f t="shared" ca="1" si="6"/>
        <v>1.000013132740865</v>
      </c>
      <c r="AA17" s="7"/>
    </row>
    <row r="18" spans="1:27" x14ac:dyDescent="0.35">
      <c r="A18" s="11">
        <v>44757</v>
      </c>
      <c r="B18" s="2">
        <f t="shared" si="7"/>
        <v>207</v>
      </c>
      <c r="C18" s="2">
        <f>SUM($B$4:$B18)</f>
        <v>3630</v>
      </c>
      <c r="D18" s="10">
        <f t="shared" si="0"/>
        <v>15.529999999985833</v>
      </c>
      <c r="E18" s="9">
        <f t="shared" si="8"/>
        <v>0.19999999989472883</v>
      </c>
      <c r="F18" s="1">
        <v>1.00001553</v>
      </c>
      <c r="G18" s="8">
        <v>3.3999999999999997E-7</v>
      </c>
      <c r="H18" s="26">
        <f t="shared" ca="1" si="9"/>
        <v>1.0000155850246446</v>
      </c>
      <c r="I18" s="26">
        <f t="shared" ca="1" si="1"/>
        <v>1.0000150935095955</v>
      </c>
      <c r="J18" s="26">
        <f t="shared" ca="1" si="2"/>
        <v>1.0000160765396937</v>
      </c>
      <c r="T18" s="7"/>
      <c r="X18" s="7"/>
      <c r="AA18" s="7"/>
    </row>
    <row r="19" spans="1:27" x14ac:dyDescent="0.35">
      <c r="A19" s="11">
        <v>44968</v>
      </c>
      <c r="B19" s="2">
        <f t="shared" si="7"/>
        <v>211</v>
      </c>
      <c r="C19" s="2">
        <f>SUM($B$4:$B19)</f>
        <v>3841</v>
      </c>
      <c r="D19" s="10">
        <f t="shared" si="0"/>
        <v>15.990000000076776</v>
      </c>
      <c r="E19" s="9">
        <f t="shared" si="8"/>
        <v>0.46000000009094322</v>
      </c>
      <c r="F19" s="1">
        <v>1.0000159900000001</v>
      </c>
      <c r="G19" s="8">
        <v>3.3999999999999997E-7</v>
      </c>
      <c r="H19" s="26">
        <f t="shared" ca="1" si="9"/>
        <v>1.0000158892084954</v>
      </c>
      <c r="I19" s="26">
        <f t="shared" ca="1" si="1"/>
        <v>1.0000153942415051</v>
      </c>
      <c r="J19" s="26">
        <f t="shared" ca="1" si="2"/>
        <v>1.0000163841754857</v>
      </c>
      <c r="T19" s="7"/>
      <c r="X19" s="7"/>
      <c r="AA19" s="7"/>
    </row>
    <row r="20" spans="1:27" x14ac:dyDescent="0.35">
      <c r="A20" s="11">
        <v>45208</v>
      </c>
      <c r="B20" s="2">
        <f t="shared" si="7"/>
        <v>240</v>
      </c>
      <c r="C20" s="2">
        <f>SUM($B$4:$B20)</f>
        <v>4081</v>
      </c>
      <c r="D20" s="10">
        <f t="shared" si="0"/>
        <v>16.019999999894452</v>
      </c>
      <c r="E20" s="9">
        <f t="shared" si="8"/>
        <v>2.9999999817675871E-2</v>
      </c>
      <c r="F20" s="1">
        <v>1.0000160199999999</v>
      </c>
      <c r="G20" s="8">
        <v>3.3999999999999997E-7</v>
      </c>
      <c r="H20" s="26">
        <f t="shared" ca="1" si="9"/>
        <v>1.0000162351996054</v>
      </c>
      <c r="I20" s="26">
        <f t="shared" ca="1" si="1"/>
        <v>1.0000157357558226</v>
      </c>
      <c r="J20" s="26">
        <f t="shared" ca="1" si="2"/>
        <v>1.0000167346433881</v>
      </c>
    </row>
    <row r="21" spans="1:27" ht="14.5" x14ac:dyDescent="0.35">
      <c r="A21" s="11">
        <v>45519</v>
      </c>
      <c r="B21" s="2">
        <f t="shared" ref="B21" si="19">A21-A20</f>
        <v>311</v>
      </c>
      <c r="C21" s="2">
        <f>SUM($B$4:$B21)</f>
        <v>4392</v>
      </c>
      <c r="D21" s="10">
        <f t="shared" ref="D21" si="20">(F21-1)/1*1000000</f>
        <v>16.519999999964341</v>
      </c>
      <c r="E21" s="9">
        <f t="shared" ref="E21" si="21">D21-D20</f>
        <v>0.50000000006988898</v>
      </c>
      <c r="F21" s="1">
        <v>1.00001652</v>
      </c>
      <c r="G21" s="8">
        <v>3.3999999999999997E-7</v>
      </c>
      <c r="H21" s="26">
        <f t="shared" ca="1" si="9"/>
        <v>1.0000166835464186</v>
      </c>
      <c r="I21" s="26">
        <f t="shared" ca="1" si="1"/>
        <v>1.0000161774548737</v>
      </c>
      <c r="J21" s="26">
        <f t="shared" ca="1" si="2"/>
        <v>1.0000171896379635</v>
      </c>
      <c r="P21"/>
    </row>
    <row r="22" spans="1:27" ht="12" x14ac:dyDescent="0.35">
      <c r="A22" s="11">
        <v>45726</v>
      </c>
      <c r="B22" s="2">
        <f t="shared" ref="B22" si="22">A22-A21</f>
        <v>207</v>
      </c>
      <c r="C22" s="2">
        <f>SUM($B$4:$B22)</f>
        <v>4599</v>
      </c>
      <c r="D22" s="10">
        <f>(F22-1)/1*1000000</f>
        <v>16.980000000055284</v>
      </c>
      <c r="E22" s="9">
        <f t="shared" ref="E22:E23" si="23">D22-D21</f>
        <v>0.46000000009094322</v>
      </c>
      <c r="F22" s="1">
        <v>1.0000169800000001</v>
      </c>
      <c r="G22" s="8">
        <v>3.3999999999999997E-7</v>
      </c>
      <c r="H22" s="26">
        <f t="shared" ca="1" si="9"/>
        <v>1.0000169819637508</v>
      </c>
      <c r="I22" s="26">
        <f t="shared" ca="1" si="1"/>
        <v>1.0000164709344859</v>
      </c>
      <c r="J22" s="26">
        <f t="shared" ca="1" si="2"/>
        <v>1.0000174929930157</v>
      </c>
      <c r="R22" s="4"/>
    </row>
    <row r="23" spans="1:27" ht="13" x14ac:dyDescent="0.35">
      <c r="A23" s="11">
        <v>46008</v>
      </c>
      <c r="B23" s="2">
        <f t="shared" ref="B23" si="24">A23-A22</f>
        <v>282</v>
      </c>
      <c r="C23" s="2">
        <f>SUM($B$4:$B23)</f>
        <v>4881</v>
      </c>
      <c r="D23" s="27">
        <f>(F23-1)/1*1000000</f>
        <v>17.579999999961515</v>
      </c>
      <c r="E23" s="9">
        <f t="shared" si="23"/>
        <v>0.5999999999062311</v>
      </c>
      <c r="F23" s="1">
        <v>1.00001758</v>
      </c>
      <c r="G23" s="8">
        <v>3.3999999999999997E-7</v>
      </c>
      <c r="H23" s="26">
        <f t="shared" ca="1" si="9"/>
        <v>1.000017388503305</v>
      </c>
      <c r="I23" s="26">
        <f t="shared" ca="1" si="1"/>
        <v>1.0000168701117578</v>
      </c>
      <c r="J23" s="26">
        <f t="shared" ca="1" si="2"/>
        <v>1.0000179068948523</v>
      </c>
      <c r="R23" s="4"/>
    </row>
    <row r="24" spans="1:27" ht="12" x14ac:dyDescent="0.35">
      <c r="B24" s="2"/>
      <c r="D24" s="5"/>
      <c r="E24" s="6"/>
      <c r="R24" s="4"/>
    </row>
    <row r="25" spans="1:27" ht="12" x14ac:dyDescent="0.35">
      <c r="B25" s="2"/>
      <c r="D25" s="5"/>
      <c r="E25" s="6"/>
      <c r="R25" s="4"/>
    </row>
    <row r="26" spans="1:27" ht="12" x14ac:dyDescent="0.35">
      <c r="B26" s="3"/>
      <c r="D26" s="5"/>
      <c r="E26" s="6"/>
      <c r="R26" s="4"/>
    </row>
    <row r="27" spans="1:27" ht="12" x14ac:dyDescent="0.35">
      <c r="B27" s="3"/>
      <c r="D27" s="5"/>
      <c r="E27" s="6"/>
      <c r="R27" s="4"/>
    </row>
    <row r="28" spans="1:27" ht="12" x14ac:dyDescent="0.35">
      <c r="B28" s="3"/>
      <c r="D28" s="5"/>
      <c r="E28" s="6"/>
      <c r="R28" s="4"/>
    </row>
    <row r="29" spans="1:27" ht="12" x14ac:dyDescent="0.35">
      <c r="B29" s="3"/>
      <c r="D29" s="5"/>
      <c r="E29" s="6"/>
      <c r="R29" s="4"/>
    </row>
    <row r="30" spans="1:27" ht="12" x14ac:dyDescent="0.35">
      <c r="B30" s="3"/>
      <c r="D30" s="5"/>
      <c r="E30" s="6"/>
      <c r="R30" s="4"/>
    </row>
    <row r="31" spans="1:27" ht="12" x14ac:dyDescent="0.35">
      <c r="B31" s="3"/>
      <c r="D31" s="5"/>
      <c r="E31" s="6"/>
      <c r="R31" s="4"/>
    </row>
    <row r="32" spans="1:27" ht="12" x14ac:dyDescent="0.35">
      <c r="B32" s="3"/>
      <c r="D32" s="5"/>
      <c r="E32" s="6"/>
      <c r="R32" s="4"/>
    </row>
    <row r="33" spans="2:18" ht="12" x14ac:dyDescent="0.35">
      <c r="B33" s="3"/>
      <c r="D33" s="5"/>
      <c r="E33" s="6"/>
      <c r="R33" s="4"/>
    </row>
    <row r="34" spans="2:18" ht="12" x14ac:dyDescent="0.35">
      <c r="B34" s="3"/>
      <c r="D34" s="5"/>
      <c r="E34" s="6"/>
      <c r="R34" s="4"/>
    </row>
    <row r="35" spans="2:18" ht="12" x14ac:dyDescent="0.35">
      <c r="B35" s="3"/>
      <c r="D35" s="5"/>
      <c r="E35" s="6"/>
      <c r="R35" s="4"/>
    </row>
    <row r="36" spans="2:18" ht="12" x14ac:dyDescent="0.35">
      <c r="B36" s="3"/>
      <c r="D36" s="5"/>
      <c r="R36" s="4"/>
    </row>
    <row r="37" spans="2:18" ht="12" x14ac:dyDescent="0.35">
      <c r="B37" s="3"/>
      <c r="D37" s="5"/>
      <c r="R37" s="4"/>
    </row>
    <row r="38" spans="2:18" ht="12" x14ac:dyDescent="0.35">
      <c r="B38" s="3"/>
      <c r="D38" s="5"/>
    </row>
    <row r="39" spans="2:18" ht="12" x14ac:dyDescent="0.35">
      <c r="B39" s="3"/>
      <c r="D39" s="4"/>
    </row>
    <row r="40" spans="2:18" x14ac:dyDescent="0.35">
      <c r="B40" s="3"/>
    </row>
    <row r="41" spans="2:18" x14ac:dyDescent="0.35">
      <c r="B41" s="3"/>
    </row>
    <row r="42" spans="2:18" x14ac:dyDescent="0.35">
      <c r="B42" s="2"/>
    </row>
    <row r="43" spans="2:18" x14ac:dyDescent="0.35">
      <c r="B43" s="2"/>
    </row>
    <row r="44" spans="2:18" x14ac:dyDescent="0.35">
      <c r="B44" s="2"/>
    </row>
    <row r="45" spans="2:18" x14ac:dyDescent="0.35">
      <c r="B45" s="2"/>
    </row>
    <row r="46" spans="2:18" x14ac:dyDescent="0.35">
      <c r="B46" s="2"/>
    </row>
  </sheetData>
  <mergeCells count="4">
    <mergeCell ref="H1:J1"/>
    <mergeCell ref="V1:X1"/>
    <mergeCell ref="L1:M1"/>
    <mergeCell ref="L8:M8"/>
  </mergeCells>
  <conditionalFormatting sqref="D24:D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justed_x003f_ xmlns="e9030caa-ab7d-4043-a723-846408bcfa62">false</Adjusted_x003f_>
    <Cal_x002e_Date xmlns="e9030caa-ab7d-4043-a723-846408bcfa62" xsi:nil="true"/>
    <ETEs xmlns="e9030caa-ab7d-4043-a723-846408bcfa62" xsi:nil="true"/>
    <CalProvider xmlns="e9030caa-ab7d-4043-a723-846408bcfa6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B235E799D978469D5A3DE19AC51D2D" ma:contentTypeVersion="10" ma:contentTypeDescription="Create a new document." ma:contentTypeScope="" ma:versionID="2f8dd52a4ebb9c349144a3bc151f6d14">
  <xsd:schema xmlns:xsd="http://www.w3.org/2001/XMLSchema" xmlns:xs="http://www.w3.org/2001/XMLSchema" xmlns:p="http://schemas.microsoft.com/office/2006/metadata/properties" xmlns:ns2="e9030caa-ab7d-4043-a723-846408bcfa62" targetNamespace="http://schemas.microsoft.com/office/2006/metadata/properties" ma:root="true" ma:fieldsID="ff1b3e1682df009e112d2ea2d6cd6fd8" ns2:_="">
    <xsd:import namespace="e9030caa-ab7d-4043-a723-846408bcfa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Adjusted_x003f_" minOccurs="0"/>
                <xsd:element ref="ns2:CalProvider" minOccurs="0"/>
                <xsd:element ref="ns2:Cal_x002e_Date" minOccurs="0"/>
                <xsd:element ref="ns2:ETE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30caa-ab7d-4043-a723-846408bcfa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djusted_x003f_" ma:index="13" nillable="true" ma:displayName="Adjusted?" ma:default="0" ma:description="Record of whether this unit been adjusted during this activity" ma:format="Dropdown" ma:internalName="Adjusted_x003f_">
      <xsd:simpleType>
        <xsd:restriction base="dms:Boolean"/>
      </xsd:simpleType>
    </xsd:element>
    <xsd:element name="CalProvider" ma:index="14" nillable="true" ma:displayName="Cal Provider" ma:description="Location of calibration" ma:format="Dropdown" ma:internalName="CalProvider">
      <xsd:simpleType>
        <xsd:restriction base="dms:Text">
          <xsd:maxLength value="255"/>
        </xsd:restriction>
      </xsd:simpleType>
    </xsd:element>
    <xsd:element name="Cal_x002e_Date" ma:index="15" nillable="true" ma:displayName="Cal. Date" ma:default="10/11/2023" ma:description="Date of Calibration" ma:format="DateOnly" ma:internalName="Cal_x002e_Date">
      <xsd:simpleType>
        <xsd:restriction base="dms:DateTime"/>
      </xsd:simpleType>
    </xsd:element>
    <xsd:element name="ETEs" ma:index="16" nillable="true" ma:displayName="ETEs" ma:decimals="0" ma:description="Set of ETEs being used" ma:format="Dropdown" ma:internalName="ETEs" ma:percentage="FALSE">
      <xsd:simpleType>
        <xsd:restriction base="dms:Number">
          <xsd:maxInclusive value="2"/>
          <xsd:minInclusive value="1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B18346-D662-4E2B-8FB5-E79C2E0AB6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B3DF8C-2125-4012-AA1D-A6E6CD300E0D}">
  <ds:schemaRefs>
    <ds:schemaRef ds:uri="http://schemas.microsoft.com/office/2006/metadata/properties"/>
    <ds:schemaRef ds:uri="http://schemas.microsoft.com/office/infopath/2007/PartnerControls"/>
    <ds:schemaRef ds:uri="e9030caa-ab7d-4043-a723-846408bcfa62"/>
  </ds:schemaRefs>
</ds:datastoreItem>
</file>

<file path=customXml/itemProps3.xml><?xml version="1.0" encoding="utf-8"?>
<ds:datastoreItem xmlns:ds="http://schemas.openxmlformats.org/officeDocument/2006/customXml" ds:itemID="{597D543A-0269-488C-B509-FF6EE39429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030caa-ab7d-4043-a723-846408bcf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1 Ohm</vt:lpstr>
      <vt:lpstr>'1 Ohm'!df_PN010001</vt:lpstr>
      <vt:lpstr>'1 Ohm'!df_PN010022</vt:lpstr>
      <vt:lpstr>'1 Ohm'!n_PN010001</vt:lpstr>
      <vt:lpstr>'1 Ohm'!n_PN010022</vt:lpstr>
      <vt:lpstr>'1 Ohm'!SSx_PN010001</vt:lpstr>
      <vt:lpstr>'1 Ohm'!SSx_PN010022</vt:lpstr>
      <vt:lpstr>'1 Ohm'!Syx_PN010001</vt:lpstr>
      <vt:lpstr>'1 Ohm'!Syx_PN010022</vt:lpstr>
      <vt:lpstr>'1 Ohm'!XBar_PN010001</vt:lpstr>
      <vt:lpstr>'1 Ohm'!XBar_PN010022</vt:lpstr>
    </vt:vector>
  </TitlesOfParts>
  <Manager/>
  <Company>Keysight Technologies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 ZI YANG</dc:creator>
  <cp:keywords/>
  <dc:description/>
  <cp:lastModifiedBy>Zi-Yang Ang</cp:lastModifiedBy>
  <cp:revision/>
  <dcterms:created xsi:type="dcterms:W3CDTF">2023-11-16T08:09:24Z</dcterms:created>
  <dcterms:modified xsi:type="dcterms:W3CDTF">2026-09-08T00:12:31Z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0x01010044B235E799D978469D5A3DE19AC51D2D</vt:lpwstr>
  </property>
</Properties>
</file>