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1E54E8F8-9B4F-4249-8B39-20C108D73994}" xr6:coauthVersionLast="47" xr6:coauthVersionMax="47" xr10:uidLastSave="{00000000-0000-0000-0000-000000000000}"/>
  <bookViews>
    <workbookView xWindow="-120" yWindow="-120" windowWidth="38640" windowHeight="15720" xr2:uid="{43F1E4EB-DE00-438B-99F7-AF95CC848119}"/>
  </bookViews>
  <sheets>
    <sheet name="100M Ohm" sheetId="1" r:id="rId1"/>
  </sheets>
  <externalReferences>
    <externalReference r:id="rId2"/>
  </externalReferences>
  <definedNames>
    <definedName name="df_PN010016">'100M Ohm'!$M$10</definedName>
    <definedName name="df_PN010017" localSheetId="0">'100M Ohm'!$M$3</definedName>
    <definedName name="Known_xs_PN010016" localSheetId="0">OFFSET('100M Ohm'!$Q$3,,,COUNTA('100M Ohm'!$Q:$Q)-3)</definedName>
    <definedName name="Known_xs_PN010017">OFFSET('100M Ohm'!$C$3,,,COUNTA('100M Ohm'!$C:$C)-3)</definedName>
    <definedName name="Known_ys_PN010016">OFFSET('100M Ohm'!$T$3,,,COUNTA('100M Ohm'!$T:$T)-2)</definedName>
    <definedName name="Known_ys_PN010017">OFFSET('100M Ohm'!$F$3,,,COUNTA('100M Ohm'!$F:$F)-2)</definedName>
    <definedName name="n_PN010016">'100M Ohm'!$M$9</definedName>
    <definedName name="n_PN010017">'100M Ohm'!$M$2</definedName>
    <definedName name="PI_L_PN010001">OFFSET('[1]1 Ohm'!$I$3,,,COUNTA('[1]1 Ohm'!$I:$I)-1)</definedName>
    <definedName name="PI_L_PN010022">OFFSET('[1]1 Ohm'!$W$3,,,COUNTA('[1]1 Ohm'!$W:$W)-1)</definedName>
    <definedName name="PI_U_PN010001">OFFSET('[1]1 Ohm'!$J$3,,,COUNTA('[1]1 Ohm'!$J:$J)-1)</definedName>
    <definedName name="PI_U_PN010022">OFFSET('[1]1 Ohm'!$X$3,,,COUNTA('[1]1 Ohm'!$X:$X)-1)</definedName>
    <definedName name="Predicted_PN010001">OFFSET('[1]1 Ohm'!$H$3,,,COUNTA('[1]1 Ohm'!$H:$H)-2)</definedName>
    <definedName name="Predicted_PN010022">OFFSET('[1]1 Ohm'!$V$3,,,COUNTA('[1]1 Ohm'!$V:$V)-2)</definedName>
    <definedName name="SSx_PN010016">'100M Ohm'!$M$13</definedName>
    <definedName name="SSx_PN010017" localSheetId="0">'100M Ohm'!$M$6</definedName>
    <definedName name="Syx_PN010016">'100M Ohm'!$M$12</definedName>
    <definedName name="Syx_PN010017" localSheetId="0">'100M Ohm'!$M$5</definedName>
    <definedName name="XBar_PN010016">'100M Ohm'!$M$11</definedName>
    <definedName name="XBar_PN010017" localSheetId="0">'100M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D28" i="1"/>
  <c r="E28" i="1" s="1"/>
  <c r="C28" i="1"/>
  <c r="H28" i="1" s="1"/>
  <c r="B28" i="1"/>
  <c r="R16" i="1"/>
  <c r="S16" i="1" s="1"/>
  <c r="Q16" i="1"/>
  <c r="P16" i="1"/>
  <c r="R15" i="1"/>
  <c r="S15" i="1" s="1"/>
  <c r="P15" i="1"/>
  <c r="Q15" i="1" s="1"/>
  <c r="G27" i="1"/>
  <c r="D27" i="1"/>
  <c r="E27" i="1" s="1"/>
  <c r="C27" i="1"/>
  <c r="B27" i="1"/>
  <c r="G26" i="1"/>
  <c r="D26" i="1"/>
  <c r="E26" i="1" s="1"/>
  <c r="C26" i="1"/>
  <c r="H26" i="1" s="1"/>
  <c r="B26" i="1"/>
  <c r="R14" i="1"/>
  <c r="S14" i="1" s="1"/>
  <c r="P14" i="1"/>
  <c r="Q14" i="1" s="1"/>
  <c r="G25" i="1"/>
  <c r="D25" i="1"/>
  <c r="E25" i="1" s="1"/>
  <c r="B25" i="1"/>
  <c r="C25" i="1" s="1"/>
  <c r="R13" i="1"/>
  <c r="S13" i="1" s="1"/>
  <c r="P13" i="1"/>
  <c r="R12" i="1"/>
  <c r="S12" i="1" s="1"/>
  <c r="P12" i="1"/>
  <c r="Q13" i="1" s="1"/>
  <c r="G24" i="1"/>
  <c r="B24" i="1"/>
  <c r="C24" i="1" s="1"/>
  <c r="D24" i="1"/>
  <c r="E24" i="1" s="1"/>
  <c r="G23" i="1"/>
  <c r="D23" i="1"/>
  <c r="E23" i="1" s="1"/>
  <c r="C23" i="1"/>
  <c r="B23" i="1"/>
  <c r="M9" i="1"/>
  <c r="M10" i="1" s="1" a="1"/>
  <c r="M10" i="1" s="1"/>
  <c r="M2" i="1"/>
  <c r="M3" i="1" s="1" a="1"/>
  <c r="M3" i="1" s="1"/>
  <c r="D3" i="1"/>
  <c r="R3" i="1"/>
  <c r="B4" i="1"/>
  <c r="D4" i="1"/>
  <c r="P4" i="1"/>
  <c r="R4" i="1"/>
  <c r="B5" i="1"/>
  <c r="D5" i="1"/>
  <c r="P5" i="1"/>
  <c r="R5" i="1"/>
  <c r="B6" i="1"/>
  <c r="D6" i="1"/>
  <c r="P6" i="1"/>
  <c r="R6" i="1"/>
  <c r="B7" i="1"/>
  <c r="D7" i="1"/>
  <c r="P7" i="1"/>
  <c r="R7" i="1"/>
  <c r="B8" i="1"/>
  <c r="D8" i="1"/>
  <c r="P8" i="1"/>
  <c r="R8" i="1"/>
  <c r="B9" i="1"/>
  <c r="D9" i="1"/>
  <c r="P9" i="1"/>
  <c r="R9" i="1"/>
  <c r="B10" i="1"/>
  <c r="D10" i="1"/>
  <c r="P10" i="1"/>
  <c r="R10" i="1"/>
  <c r="B11" i="1"/>
  <c r="D11" i="1"/>
  <c r="P11" i="1"/>
  <c r="R11" i="1"/>
  <c r="B12" i="1"/>
  <c r="D12" i="1"/>
  <c r="B13" i="1"/>
  <c r="D13" i="1"/>
  <c r="B14" i="1"/>
  <c r="D14" i="1"/>
  <c r="E14" i="1" s="1"/>
  <c r="G14" i="1"/>
  <c r="B15" i="1"/>
  <c r="D15" i="1"/>
  <c r="G15" i="1"/>
  <c r="B16" i="1"/>
  <c r="D16" i="1"/>
  <c r="G16" i="1"/>
  <c r="B17" i="1"/>
  <c r="D17" i="1"/>
  <c r="G17" i="1"/>
  <c r="B18" i="1"/>
  <c r="D18" i="1"/>
  <c r="G18" i="1"/>
  <c r="B19" i="1"/>
  <c r="D19" i="1"/>
  <c r="G19" i="1"/>
  <c r="B20" i="1"/>
  <c r="D20" i="1"/>
  <c r="G20" i="1"/>
  <c r="B21" i="1"/>
  <c r="D21" i="1"/>
  <c r="G21" i="1"/>
  <c r="B22" i="1"/>
  <c r="D22" i="1"/>
  <c r="G22" i="1"/>
  <c r="H27" i="1" l="1"/>
  <c r="V16" i="1"/>
  <c r="V15" i="1"/>
  <c r="V13" i="1"/>
  <c r="V12" i="1"/>
  <c r="V14" i="1"/>
  <c r="H25" i="1"/>
  <c r="H24" i="1"/>
  <c r="H23" i="1"/>
  <c r="Q12" i="1"/>
  <c r="S6" i="1"/>
  <c r="E19" i="1"/>
  <c r="E20" i="1"/>
  <c r="S10" i="1"/>
  <c r="E12" i="1"/>
  <c r="E9" i="1"/>
  <c r="C5" i="1"/>
  <c r="H5" i="1" s="1"/>
  <c r="E17" i="1"/>
  <c r="E22" i="1"/>
  <c r="S11" i="1"/>
  <c r="S7" i="1"/>
  <c r="E6" i="1"/>
  <c r="Q5" i="1"/>
  <c r="E13" i="1"/>
  <c r="E11" i="1"/>
  <c r="E16" i="1"/>
  <c r="C11" i="1"/>
  <c r="S4" i="1"/>
  <c r="E18" i="1"/>
  <c r="E21" i="1"/>
  <c r="S9" i="1"/>
  <c r="E7" i="1"/>
  <c r="E4" i="1"/>
  <c r="S8" i="1"/>
  <c r="E15" i="1"/>
  <c r="Q9" i="1"/>
  <c r="E8" i="1"/>
  <c r="C17" i="1"/>
  <c r="C18" i="1"/>
  <c r="E10" i="1"/>
  <c r="S5" i="1"/>
  <c r="Q6" i="1"/>
  <c r="Q4" i="1"/>
  <c r="Q7" i="1"/>
  <c r="E5" i="1"/>
  <c r="C13" i="1"/>
  <c r="C8" i="1"/>
  <c r="C16" i="1"/>
  <c r="Q10" i="1"/>
  <c r="C19" i="1"/>
  <c r="C14" i="1"/>
  <c r="Q11" i="1"/>
  <c r="C10" i="1"/>
  <c r="H10" i="1" s="1"/>
  <c r="Q8" i="1"/>
  <c r="C7" i="1"/>
  <c r="C4" i="1"/>
  <c r="C21" i="1"/>
  <c r="C20" i="1"/>
  <c r="C15" i="1"/>
  <c r="C22" i="1"/>
  <c r="C12" i="1"/>
  <c r="C9" i="1"/>
  <c r="C6" i="1"/>
  <c r="V3" i="1" l="1"/>
  <c r="M13" i="1"/>
  <c r="M12" i="1"/>
  <c r="V7" i="1"/>
  <c r="M11" i="1"/>
  <c r="V4" i="1"/>
  <c r="V5" i="1"/>
  <c r="V10" i="1"/>
  <c r="V6" i="1"/>
  <c r="V11" i="1"/>
  <c r="V8" i="1"/>
  <c r="V9" i="1"/>
  <c r="H6" i="1"/>
  <c r="H18" i="1"/>
  <c r="H19" i="1"/>
  <c r="H20" i="1"/>
  <c r="H21" i="1"/>
  <c r="H4" i="1"/>
  <c r="H3" i="1"/>
  <c r="H7" i="1"/>
  <c r="H9" i="1"/>
  <c r="H17" i="1"/>
  <c r="H12" i="1"/>
  <c r="H22" i="1"/>
  <c r="H16" i="1"/>
  <c r="H15" i="1"/>
  <c r="H8" i="1"/>
  <c r="H14" i="1"/>
  <c r="H13" i="1"/>
  <c r="H11" i="1"/>
  <c r="M5" i="1"/>
  <c r="M4" i="1"/>
  <c r="M6" i="1"/>
  <c r="J28" i="1" l="1"/>
  <c r="I28" i="1"/>
  <c r="X16" i="1" a="1"/>
  <c r="X16" i="1" s="1"/>
  <c r="W16" i="1" a="1"/>
  <c r="W16" i="1" s="1"/>
  <c r="W14" i="1" a="1"/>
  <c r="W14" i="1" s="1"/>
  <c r="W15" i="1" a="1"/>
  <c r="W15" i="1" s="1"/>
  <c r="X15" i="1" a="1"/>
  <c r="X15" i="1" s="1"/>
  <c r="J27" i="1"/>
  <c r="I27" i="1"/>
  <c r="J26" i="1"/>
  <c r="I26" i="1"/>
  <c r="X14" i="1" a="1"/>
  <c r="X14" i="1" s="1"/>
  <c r="I25" i="1"/>
  <c r="J25" i="1"/>
  <c r="X13" i="1" a="1"/>
  <c r="X13" i="1" s="1"/>
  <c r="X12" i="1" a="1"/>
  <c r="X12" i="1" s="1"/>
  <c r="W12" i="1" a="1"/>
  <c r="W12" i="1" s="1"/>
  <c r="W13" i="1" a="1"/>
  <c r="W13" i="1" s="1"/>
  <c r="X8" i="1" a="1"/>
  <c r="X8" i="1" s="1"/>
  <c r="W8" i="1" a="1"/>
  <c r="W8" i="1" s="1"/>
  <c r="W9" i="1" a="1"/>
  <c r="W9" i="1" s="1"/>
  <c r="X9" i="1" a="1"/>
  <c r="X9" i="1" s="1"/>
  <c r="X11" i="1" a="1"/>
  <c r="X11" i="1" s="1"/>
  <c r="W11" i="1" a="1"/>
  <c r="W11" i="1" s="1"/>
  <c r="X4" i="1" a="1"/>
  <c r="X4" i="1" s="1"/>
  <c r="W4" i="1" a="1"/>
  <c r="W4" i="1" s="1"/>
  <c r="X5" i="1" a="1"/>
  <c r="X5" i="1" s="1"/>
  <c r="W5" i="1" a="1"/>
  <c r="W5" i="1" s="1"/>
  <c r="X6" i="1" a="1"/>
  <c r="X6" i="1" s="1"/>
  <c r="W6" i="1" a="1"/>
  <c r="W6" i="1" s="1"/>
  <c r="W7" i="1" a="1"/>
  <c r="W7" i="1" s="1"/>
  <c r="X7" i="1" a="1"/>
  <c r="X7" i="1" s="1"/>
  <c r="W10" i="1" a="1"/>
  <c r="W10" i="1" s="1"/>
  <c r="X10" i="1" a="1"/>
  <c r="X10" i="1" s="1"/>
  <c r="X3" i="1" a="1"/>
  <c r="X3" i="1" s="1"/>
  <c r="W3" i="1" a="1"/>
  <c r="W3" i="1" s="1"/>
  <c r="I24" i="1"/>
  <c r="J24" i="1"/>
  <c r="J23" i="1"/>
  <c r="I23" i="1"/>
  <c r="J3" i="1"/>
  <c r="J14" i="1"/>
  <c r="I6" i="1"/>
  <c r="I22" i="1"/>
  <c r="J10" i="1"/>
  <c r="J22" i="1"/>
  <c r="J7" i="1"/>
  <c r="I10" i="1"/>
  <c r="I18" i="1"/>
  <c r="J18" i="1"/>
  <c r="J11" i="1"/>
  <c r="J6" i="1"/>
  <c r="J15" i="1"/>
  <c r="J21" i="1"/>
  <c r="I7" i="1"/>
  <c r="I11" i="1"/>
  <c r="I15" i="1"/>
  <c r="I19" i="1"/>
  <c r="J19" i="1"/>
  <c r="I16" i="1"/>
  <c r="I21" i="1"/>
  <c r="I13" i="1"/>
  <c r="I4" i="1"/>
  <c r="I20" i="1"/>
  <c r="J17" i="1"/>
  <c r="J4" i="1"/>
  <c r="J13" i="1"/>
  <c r="I14" i="1"/>
  <c r="I17" i="1"/>
  <c r="J20" i="1"/>
  <c r="J16" i="1"/>
  <c r="J12" i="1"/>
  <c r="J8" i="1"/>
  <c r="J9" i="1"/>
  <c r="I5" i="1"/>
  <c r="I8" i="1"/>
  <c r="I12" i="1"/>
  <c r="I9" i="1"/>
  <c r="J5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tc={E3EB7947-3164-42F5-804A-43DEB1884025}</author>
    <author>tc={A64800CC-AF19-4CD3-8258-E1959BB3AA33}</author>
  </authors>
  <commentList>
    <comment ref="F6" authorId="0" shapeId="0" xr:uid="{E3EB7947-3164-42F5-804A-43DEB18840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point observed to be outside the regression limits was measured years ago before the current analysis was implemented. 
Reply:
    @Siang-Yen Neng </t>
      </text>
    </comment>
    <comment ref="F8" authorId="1" shapeId="0" xr:uid="{A64800CC-AF19-4CD3-8258-E1959BB3AA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point observed to be outside the regression limits was measured years ago before the current analysis was implemented. 
Reply:
    @Siang-Yen Neng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<sst xmlns="http://schemas.openxmlformats.org/spreadsheetml/2006/main" count="38" uniqueCount="21">
  <si>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GUI 9334</t>
  </si>
  <si>
    <t>PN010017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</si>
  <si>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</si>
  <si>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PN010017</t>
    </r>
  </si>
  <si>
    <t>PN010016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</si>
  <si>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</si>
  <si>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</si>
  <si>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</si>
  <si>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</si>
  <si>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</si>
  <si>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</si>
  <si>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</si>
  <si>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</si>
  <si>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</si>
  <si>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</si>
  <si>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</si>
  <si>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</si>
  <si>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</si>
  <si>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</si>
  <si>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PN010016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</si>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</sst>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5" fontId="1" fillId="9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PN010017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'100M Ohm'!$C$3:$C$28</c:f>
              <c:numCache>
                <c:formatCode>0</c:formatCode>
                <c:ptCount val="26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1493</c:v>
                </c:pt>
                <c:pt idx="8">
                  <c:v>2002</c:v>
                </c:pt>
                <c:pt idx="9">
                  <c:v>2207</c:v>
                </c:pt>
                <c:pt idx="10">
                  <c:v>2410</c:v>
                </c:pt>
                <c:pt idx="11">
                  <c:v>2618</c:v>
                </c:pt>
                <c:pt idx="12">
                  <c:v>2732</c:v>
                </c:pt>
                <c:pt idx="13">
                  <c:v>2761</c:v>
                </c:pt>
                <c:pt idx="14">
                  <c:v>2773</c:v>
                </c:pt>
                <c:pt idx="15">
                  <c:v>2990</c:v>
                </c:pt>
                <c:pt idx="16">
                  <c:v>3195</c:v>
                </c:pt>
                <c:pt idx="17">
                  <c:v>3460</c:v>
                </c:pt>
                <c:pt idx="18">
                  <c:v>3466</c:v>
                </c:pt>
                <c:pt idx="19">
                  <c:v>3678</c:v>
                </c:pt>
                <c:pt idx="20">
                  <c:v>3887</c:v>
                </c:pt>
                <c:pt idx="21">
                  <c:v>4116</c:v>
                </c:pt>
                <c:pt idx="22">
                  <c:v>4338</c:v>
                </c:pt>
                <c:pt idx="23">
                  <c:v>4591</c:v>
                </c:pt>
                <c:pt idx="24">
                  <c:v>4864</c:v>
                </c:pt>
                <c:pt idx="25">
                  <c:v>5162</c:v>
                </c:pt>
              </c:numCache>
            </c:numRef>
          </c:xVal>
          <c:yVal>
            <c:numRef>
              <c:f>'100M Ohm'!$F$3:$F$28</c:f>
              <c:numCache>
                <c:formatCode>0</c:formatCode>
                <c:ptCount val="26"/>
                <c:pt idx="0">
                  <c:v>100001350</c:v>
                </c:pt>
                <c:pt idx="1">
                  <c:v>100003200</c:v>
                </c:pt>
                <c:pt idx="2">
                  <c:v>100003690</c:v>
                </c:pt>
                <c:pt idx="3">
                  <c:v>100007690</c:v>
                </c:pt>
                <c:pt idx="4">
                  <c:v>100005120</c:v>
                </c:pt>
                <c:pt idx="5">
                  <c:v>99998330</c:v>
                </c:pt>
                <c:pt idx="6">
                  <c:v>100001170</c:v>
                </c:pt>
                <c:pt idx="7">
                  <c:v>100001530</c:v>
                </c:pt>
                <c:pt idx="8">
                  <c:v>100000670</c:v>
                </c:pt>
                <c:pt idx="9">
                  <c:v>100000540</c:v>
                </c:pt>
                <c:pt idx="10">
                  <c:v>100000730</c:v>
                </c:pt>
                <c:pt idx="11">
                  <c:v>100000625</c:v>
                </c:pt>
                <c:pt idx="12">
                  <c:v>100000855</c:v>
                </c:pt>
                <c:pt idx="13">
                  <c:v>100000739</c:v>
                </c:pt>
                <c:pt idx="14">
                  <c:v>100000771</c:v>
                </c:pt>
                <c:pt idx="15">
                  <c:v>100000500</c:v>
                </c:pt>
                <c:pt idx="16">
                  <c:v>100000552</c:v>
                </c:pt>
                <c:pt idx="17">
                  <c:v>99999388</c:v>
                </c:pt>
                <c:pt idx="18" formatCode="General">
                  <c:v>99999401</c:v>
                </c:pt>
                <c:pt idx="19" formatCode="General">
                  <c:v>100001300</c:v>
                </c:pt>
                <c:pt idx="20">
                  <c:v>100000600</c:v>
                </c:pt>
                <c:pt idx="21">
                  <c:v>100000900</c:v>
                </c:pt>
                <c:pt idx="22">
                  <c:v>100000700</c:v>
                </c:pt>
                <c:pt idx="23">
                  <c:v>100001100</c:v>
                </c:pt>
                <c:pt idx="24">
                  <c:v>100000900</c:v>
                </c:pt>
                <c:pt idx="25">
                  <c:v>100000700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0-4A0B-9C5E-0849DCDF0A50}"/>
            </c:ext>
          </c:extLst>
        </c:ser>
        <c:ser>
          <c:idx val="1"/>
          <c:order val="1"/>
          <c:tx>
            <c:strRef>
              <c:f>'100M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Ohm'!$C$3:$C$28</c:f>
              <c:numCache>
                <c:formatCode>0</c:formatCode>
                <c:ptCount val="26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1493</c:v>
                </c:pt>
                <c:pt idx="8">
                  <c:v>2002</c:v>
                </c:pt>
                <c:pt idx="9">
                  <c:v>2207</c:v>
                </c:pt>
                <c:pt idx="10">
                  <c:v>2410</c:v>
                </c:pt>
                <c:pt idx="11">
                  <c:v>2618</c:v>
                </c:pt>
                <c:pt idx="12">
                  <c:v>2732</c:v>
                </c:pt>
                <c:pt idx="13">
                  <c:v>2761</c:v>
                </c:pt>
                <c:pt idx="14">
                  <c:v>2773</c:v>
                </c:pt>
                <c:pt idx="15">
                  <c:v>2990</c:v>
                </c:pt>
                <c:pt idx="16">
                  <c:v>3195</c:v>
                </c:pt>
                <c:pt idx="17">
                  <c:v>3460</c:v>
                </c:pt>
                <c:pt idx="18">
                  <c:v>3466</c:v>
                </c:pt>
                <c:pt idx="19">
                  <c:v>3678</c:v>
                </c:pt>
                <c:pt idx="20">
                  <c:v>3887</c:v>
                </c:pt>
                <c:pt idx="21">
                  <c:v>4116</c:v>
                </c:pt>
                <c:pt idx="22">
                  <c:v>4338</c:v>
                </c:pt>
                <c:pt idx="23">
                  <c:v>4591</c:v>
                </c:pt>
                <c:pt idx="24">
                  <c:v>4864</c:v>
                </c:pt>
                <c:pt idx="25">
                  <c:v>5162</c:v>
                </c:pt>
              </c:numCache>
            </c:numRef>
          </c:xVal>
          <c:yVal>
            <c:numRef>
              <c:f>'100M Ohm'!$H$3:$H$28</c:f>
              <c:numCache>
                <c:formatCode>0.0</c:formatCode>
                <c:ptCount val="26"/>
                <c:pt idx="0">
                  <c:v>100002907.57311535</c:v>
                </c:pt>
                <c:pt idx="1">
                  <c:v>100002770.77339868</c:v>
                </c:pt>
                <c:pt idx="2">
                  <c:v>100002637.88224533</c:v>
                </c:pt>
                <c:pt idx="3">
                  <c:v>100002509.55108255</c:v>
                </c:pt>
                <c:pt idx="4">
                  <c:v>100002361.02567588</c:v>
                </c:pt>
                <c:pt idx="5">
                  <c:v>100002237.90593088</c:v>
                </c:pt>
                <c:pt idx="6">
                  <c:v>100002099.80335976</c:v>
                </c:pt>
                <c:pt idx="7">
                  <c:v>100001934.99227253</c:v>
                </c:pt>
                <c:pt idx="8">
                  <c:v>100001603.4158164</c:v>
                </c:pt>
                <c:pt idx="9">
                  <c:v>100001469.87323584</c:v>
                </c:pt>
                <c:pt idx="10">
                  <c:v>100001337.63350973</c:v>
                </c:pt>
                <c:pt idx="11">
                  <c:v>100001202.13664749</c:v>
                </c:pt>
                <c:pt idx="12">
                  <c:v>100001127.87394416</c:v>
                </c:pt>
                <c:pt idx="13">
                  <c:v>100001108.98255472</c:v>
                </c:pt>
                <c:pt idx="14">
                  <c:v>100001101.16542804</c:v>
                </c:pt>
                <c:pt idx="15">
                  <c:v>100000959.80572082</c:v>
                </c:pt>
                <c:pt idx="16">
                  <c:v>100000826.26314026</c:v>
                </c:pt>
                <c:pt idx="17">
                  <c:v>100000653.63492636</c:v>
                </c:pt>
                <c:pt idx="18">
                  <c:v>100000649.72636303</c:v>
                </c:pt>
                <c:pt idx="19">
                  <c:v>100000511.62379192</c:v>
                </c:pt>
                <c:pt idx="20">
                  <c:v>100000375.47550246</c:v>
                </c:pt>
                <c:pt idx="21">
                  <c:v>100000226.29866856</c:v>
                </c:pt>
                <c:pt idx="22">
                  <c:v>100000081.68182522</c:v>
                </c:pt>
                <c:pt idx="23">
                  <c:v>99999916.870738</c:v>
                </c:pt>
                <c:pt idx="24">
                  <c:v>99999739.031106323</c:v>
                </c:pt>
                <c:pt idx="25">
                  <c:v>99999544.905794099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0-4A0B-9C5E-0849DCDF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Ohm'!$C$3:$C$28</c:f>
              <c:numCache>
                <c:formatCode>0</c:formatCode>
                <c:ptCount val="26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1493</c:v>
                </c:pt>
                <c:pt idx="8">
                  <c:v>2002</c:v>
                </c:pt>
                <c:pt idx="9">
                  <c:v>2207</c:v>
                </c:pt>
                <c:pt idx="10">
                  <c:v>2410</c:v>
                </c:pt>
                <c:pt idx="11">
                  <c:v>2618</c:v>
                </c:pt>
                <c:pt idx="12">
                  <c:v>2732</c:v>
                </c:pt>
                <c:pt idx="13">
                  <c:v>2761</c:v>
                </c:pt>
                <c:pt idx="14">
                  <c:v>2773</c:v>
                </c:pt>
                <c:pt idx="15">
                  <c:v>2990</c:v>
                </c:pt>
                <c:pt idx="16">
                  <c:v>3195</c:v>
                </c:pt>
                <c:pt idx="17">
                  <c:v>3460</c:v>
                </c:pt>
                <c:pt idx="18">
                  <c:v>3466</c:v>
                </c:pt>
                <c:pt idx="19">
                  <c:v>3678</c:v>
                </c:pt>
                <c:pt idx="20">
                  <c:v>3887</c:v>
                </c:pt>
                <c:pt idx="21">
                  <c:v>4116</c:v>
                </c:pt>
                <c:pt idx="22">
                  <c:v>4338</c:v>
                </c:pt>
                <c:pt idx="23">
                  <c:v>4591</c:v>
                </c:pt>
                <c:pt idx="24">
                  <c:v>4864</c:v>
                </c:pt>
                <c:pt idx="25">
                  <c:v>5162</c:v>
                </c:pt>
              </c:numCache>
            </c:numRef>
          </c:xVal>
          <c:yVal>
            <c:numRef>
              <c:f>'100M Ohm'!$I$3:$I$28</c:f>
              <c:numCache>
                <c:formatCode>0.0</c:formatCode>
                <c:ptCount val="26"/>
                <c:pt idx="0">
                  <c:v>99999157.040379748</c:v>
                </c:pt>
                <c:pt idx="1">
                  <c:v>99999052.913345411</c:v>
                </c:pt>
                <c:pt idx="2">
                  <c:v>99998949.233505607</c:v>
                </c:pt>
                <c:pt idx="3">
                  <c:v>99998846.690283209</c:v>
                </c:pt>
                <c:pt idx="4">
                  <c:v>99998724.974059254</c:v>
                </c:pt>
                <c:pt idx="5">
                  <c:v>99998621.558425024</c:v>
                </c:pt>
                <c:pt idx="6">
                  <c:v>99998502.790712297</c:v>
                </c:pt>
                <c:pt idx="7">
                  <c:v>99998357.161363736</c:v>
                </c:pt>
                <c:pt idx="8">
                  <c:v>99998051.093659252</c:v>
                </c:pt>
                <c:pt idx="9">
                  <c:v>99997922.819242612</c:v>
                </c:pt>
                <c:pt idx="10">
                  <c:v>99997792.941240385</c:v>
                </c:pt>
                <c:pt idx="11">
                  <c:v>99997656.911467388</c:v>
                </c:pt>
                <c:pt idx="12">
                  <c:v>99997581.088964701</c:v>
                </c:pt>
                <c:pt idx="13">
                  <c:v>99997561.657716215</c:v>
                </c:pt>
                <c:pt idx="14">
                  <c:v>99997553.600238517</c:v>
                </c:pt>
                <c:pt idx="15">
                  <c:v>99997406.183974311</c:v>
                </c:pt>
                <c:pt idx="16">
                  <c:v>99997263.953805327</c:v>
                </c:pt>
                <c:pt idx="17">
                  <c:v>99997075.860576332</c:v>
                </c:pt>
                <c:pt idx="18">
                  <c:v>99997071.546981797</c:v>
                </c:pt>
                <c:pt idx="19">
                  <c:v>99996917.58741267</c:v>
                </c:pt>
                <c:pt idx="20">
                  <c:v>99996762.890542656</c:v>
                </c:pt>
                <c:pt idx="21">
                  <c:v>99996590.119016752</c:v>
                </c:pt>
                <c:pt idx="22">
                  <c:v>99996419.424213916</c:v>
                </c:pt>
                <c:pt idx="23">
                  <c:v>99996221.133679405</c:v>
                </c:pt>
                <c:pt idx="24">
                  <c:v>99996002.794928864</c:v>
                </c:pt>
                <c:pt idx="25">
                  <c:v>99995759.447967425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60-4A0B-9C5E-0849DCDF0A50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Ohm'!$C$3:$C$28</c:f>
              <c:numCache>
                <c:formatCode>0</c:formatCode>
                <c:ptCount val="26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1493</c:v>
                </c:pt>
                <c:pt idx="8">
                  <c:v>2002</c:v>
                </c:pt>
                <c:pt idx="9">
                  <c:v>2207</c:v>
                </c:pt>
                <c:pt idx="10">
                  <c:v>2410</c:v>
                </c:pt>
                <c:pt idx="11">
                  <c:v>2618</c:v>
                </c:pt>
                <c:pt idx="12">
                  <c:v>2732</c:v>
                </c:pt>
                <c:pt idx="13">
                  <c:v>2761</c:v>
                </c:pt>
                <c:pt idx="14">
                  <c:v>2773</c:v>
                </c:pt>
                <c:pt idx="15">
                  <c:v>2990</c:v>
                </c:pt>
                <c:pt idx="16">
                  <c:v>3195</c:v>
                </c:pt>
                <c:pt idx="17">
                  <c:v>3460</c:v>
                </c:pt>
                <c:pt idx="18">
                  <c:v>3466</c:v>
                </c:pt>
                <c:pt idx="19">
                  <c:v>3678</c:v>
                </c:pt>
                <c:pt idx="20">
                  <c:v>3887</c:v>
                </c:pt>
                <c:pt idx="21">
                  <c:v>4116</c:v>
                </c:pt>
                <c:pt idx="22">
                  <c:v>4338</c:v>
                </c:pt>
                <c:pt idx="23">
                  <c:v>4591</c:v>
                </c:pt>
                <c:pt idx="24">
                  <c:v>4864</c:v>
                </c:pt>
                <c:pt idx="25">
                  <c:v>5162</c:v>
                </c:pt>
              </c:numCache>
            </c:numRef>
          </c:xVal>
          <c:yVal>
            <c:numRef>
              <c:f>'100M Ohm'!$J$3:$J$28</c:f>
              <c:numCache>
                <c:formatCode>0.0</c:formatCode>
                <c:ptCount val="26"/>
                <c:pt idx="0">
                  <c:v>100006658.10585095</c:v>
                </c:pt>
                <c:pt idx="1">
                  <c:v>100006488.63345195</c:v>
                </c:pt>
                <c:pt idx="2">
                  <c:v>100006326.53098506</c:v>
                </c:pt>
                <c:pt idx="3">
                  <c:v>100006172.41188189</c:v>
                </c:pt>
                <c:pt idx="4">
                  <c:v>100005997.0772925</c:v>
                </c:pt>
                <c:pt idx="5">
                  <c:v>100005854.25343673</c:v>
                </c:pt>
                <c:pt idx="6">
                  <c:v>100005696.81600723</c:v>
                </c:pt>
                <c:pt idx="7">
                  <c:v>100005512.82318132</c:v>
                </c:pt>
                <c:pt idx="8">
                  <c:v>100005155.73797354</c:v>
                </c:pt>
                <c:pt idx="9">
                  <c:v>100005016.92722906</c:v>
                </c:pt>
                <c:pt idx="10">
                  <c:v>100004882.32577907</c:v>
                </c:pt>
                <c:pt idx="11">
                  <c:v>100004747.3618276</c:v>
                </c:pt>
                <c:pt idx="12">
                  <c:v>100004674.65892363</c:v>
                </c:pt>
                <c:pt idx="13">
                  <c:v>100004656.30739322</c:v>
                </c:pt>
                <c:pt idx="14">
                  <c:v>100004648.73061757</c:v>
                </c:pt>
                <c:pt idx="15">
                  <c:v>100004513.42746733</c:v>
                </c:pt>
                <c:pt idx="16">
                  <c:v>100004388.57247519</c:v>
                </c:pt>
                <c:pt idx="17">
                  <c:v>100004231.4092764</c:v>
                </c:pt>
                <c:pt idx="18">
                  <c:v>100004227.90574427</c:v>
                </c:pt>
                <c:pt idx="19">
                  <c:v>100004105.66017117</c:v>
                </c:pt>
                <c:pt idx="20">
                  <c:v>100003988.06046227</c:v>
                </c:pt>
                <c:pt idx="21">
                  <c:v>100003862.47832038</c:v>
                </c:pt>
                <c:pt idx="22">
                  <c:v>100003743.93943653</c:v>
                </c:pt>
                <c:pt idx="23">
                  <c:v>100003612.60779659</c:v>
                </c:pt>
                <c:pt idx="24">
                  <c:v>100003475.26728378</c:v>
                </c:pt>
                <c:pt idx="25">
                  <c:v>100003330.36362077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60-4A0B-9C5E-0849DCDF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PN010016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'100M Ohm'!$Q$3:$Q$16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429</c:v>
                </c:pt>
                <c:pt idx="3">
                  <c:v>651</c:v>
                </c:pt>
                <c:pt idx="4">
                  <c:v>825</c:v>
                </c:pt>
                <c:pt idx="5">
                  <c:v>969</c:v>
                </c:pt>
                <c:pt idx="6">
                  <c:v>1458</c:v>
                </c:pt>
                <c:pt idx="7">
                  <c:v>1686</c:v>
                </c:pt>
                <c:pt idx="8">
                  <c:v>1897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'100M Ohm'!$T$3:$T$16</c:f>
              <c:numCache>
                <c:formatCode>0</c:formatCode>
                <c:ptCount val="14"/>
                <c:pt idx="0">
                  <c:v>100002160</c:v>
                </c:pt>
                <c:pt idx="1">
                  <c:v>100002540</c:v>
                </c:pt>
                <c:pt idx="2">
                  <c:v>100001994</c:v>
                </c:pt>
                <c:pt idx="3">
                  <c:v>100002240</c:v>
                </c:pt>
                <c:pt idx="4">
                  <c:v>100002070</c:v>
                </c:pt>
                <c:pt idx="5">
                  <c:v>100002590</c:v>
                </c:pt>
                <c:pt idx="6">
                  <c:v>100002500</c:v>
                </c:pt>
                <c:pt idx="7">
                  <c:v>100002400</c:v>
                </c:pt>
                <c:pt idx="8">
                  <c:v>100001800</c:v>
                </c:pt>
                <c:pt idx="9">
                  <c:v>100002300</c:v>
                </c:pt>
                <c:pt idx="10">
                  <c:v>100002400</c:v>
                </c:pt>
                <c:pt idx="11">
                  <c:v>100002900</c:v>
                </c:pt>
                <c:pt idx="12">
                  <c:v>100002900</c:v>
                </c:pt>
                <c:pt idx="13">
                  <c:v>100002700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9-4AB3-8BDB-35486C0B9EB8}"/>
            </c:ext>
          </c:extLst>
        </c:ser>
        <c:ser>
          <c:idx val="1"/>
          <c:order val="1"/>
          <c:tx>
            <c:strRef>
              <c:f>'100M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Ohm'!$Q$3:$Q$16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429</c:v>
                </c:pt>
                <c:pt idx="3">
                  <c:v>651</c:v>
                </c:pt>
                <c:pt idx="4">
                  <c:v>825</c:v>
                </c:pt>
                <c:pt idx="5">
                  <c:v>969</c:v>
                </c:pt>
                <c:pt idx="6">
                  <c:v>1458</c:v>
                </c:pt>
                <c:pt idx="7">
                  <c:v>1686</c:v>
                </c:pt>
                <c:pt idx="8">
                  <c:v>1897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'100M Ohm'!$V$3:$V$16</c:f>
              <c:numCache>
                <c:formatCode>0.0</c:formatCode>
                <c:ptCount val="14"/>
                <c:pt idx="0">
                  <c:v>100002137.66530409</c:v>
                </c:pt>
                <c:pt idx="1">
                  <c:v>100002176.1485993</c:v>
                </c:pt>
                <c:pt idx="2">
                  <c:v>100002208.82622498</c:v>
                </c:pt>
                <c:pt idx="3">
                  <c:v>100002245.65075746</c:v>
                </c:pt>
                <c:pt idx="4">
                  <c:v>100002274.51322886</c:v>
                </c:pt>
                <c:pt idx="5">
                  <c:v>100002298.39941211</c:v>
                </c:pt>
                <c:pt idx="6">
                  <c:v>100002379.51290934</c:v>
                </c:pt>
                <c:pt idx="7">
                  <c:v>100002417.33269945</c:v>
                </c:pt>
                <c:pt idx="8">
                  <c:v>100002452.33259295</c:v>
                </c:pt>
                <c:pt idx="9">
                  <c:v>100002486.66898134</c:v>
                </c:pt>
                <c:pt idx="10">
                  <c:v>100002526.47928673</c:v>
                </c:pt>
                <c:pt idx="11">
                  <c:v>100002578.06680746</c:v>
                </c:pt>
                <c:pt idx="12">
                  <c:v>100002612.40319586</c:v>
                </c:pt>
                <c:pt idx="13">
                  <c:v>100002659.18030469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29-4AB3-8BDB-35486C0B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Ohm'!$Q$3:$Q$16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429</c:v>
                </c:pt>
                <c:pt idx="3">
                  <c:v>651</c:v>
                </c:pt>
                <c:pt idx="4">
                  <c:v>825</c:v>
                </c:pt>
                <c:pt idx="5">
                  <c:v>969</c:v>
                </c:pt>
                <c:pt idx="6">
                  <c:v>1458</c:v>
                </c:pt>
                <c:pt idx="7">
                  <c:v>1686</c:v>
                </c:pt>
                <c:pt idx="8">
                  <c:v>1897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'100M Ohm'!$W$3:$W$16</c:f>
              <c:numCache>
                <c:formatCode>0.0</c:formatCode>
                <c:ptCount val="14"/>
                <c:pt idx="0">
                  <c:v>100001399.79193933</c:v>
                </c:pt>
                <c:pt idx="1">
                  <c:v>100001454.59763041</c:v>
                </c:pt>
                <c:pt idx="2">
                  <c:v>100001499.03380629</c:v>
                </c:pt>
                <c:pt idx="3">
                  <c:v>100001546.66734391</c:v>
                </c:pt>
                <c:pt idx="4">
                  <c:v>100001582.11709417</c:v>
                </c:pt>
                <c:pt idx="5">
                  <c:v>100001610.1640746</c:v>
                </c:pt>
                <c:pt idx="6">
                  <c:v>100001696.42987166</c:v>
                </c:pt>
                <c:pt idx="7">
                  <c:v>100001731.85539907</c:v>
                </c:pt>
                <c:pt idx="8">
                  <c:v>100001761.94517818</c:v>
                </c:pt>
                <c:pt idx="9">
                  <c:v>100001789.00120381</c:v>
                </c:pt>
                <c:pt idx="10">
                  <c:v>100001817.41717215</c:v>
                </c:pt>
                <c:pt idx="11">
                  <c:v>100001849.762181</c:v>
                </c:pt>
                <c:pt idx="12">
                  <c:v>100001868.6646498</c:v>
                </c:pt>
                <c:pt idx="13">
                  <c:v>100001891.29947142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29-4AB3-8BDB-35486C0B9EB8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'100M Ohm'!$Q$3:$Q$16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429</c:v>
                </c:pt>
                <c:pt idx="3">
                  <c:v>651</c:v>
                </c:pt>
                <c:pt idx="4">
                  <c:v>825</c:v>
                </c:pt>
                <c:pt idx="5">
                  <c:v>969</c:v>
                </c:pt>
                <c:pt idx="6">
                  <c:v>1458</c:v>
                </c:pt>
                <c:pt idx="7">
                  <c:v>1686</c:v>
                </c:pt>
                <c:pt idx="8">
                  <c:v>1897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'100M Ohm'!$X$3:$X$16</c:f>
              <c:numCache>
                <c:formatCode>0.0</c:formatCode>
                <c:ptCount val="14"/>
                <c:pt idx="0">
                  <c:v>100002875.53866886</c:v>
                </c:pt>
                <c:pt idx="1">
                  <c:v>100002897.69956818</c:v>
                </c:pt>
                <c:pt idx="2">
                  <c:v>100002918.61864367</c:v>
                </c:pt>
                <c:pt idx="3">
                  <c:v>100002944.63417101</c:v>
                </c:pt>
                <c:pt idx="4">
                  <c:v>100002966.90936355</c:v>
                </c:pt>
                <c:pt idx="5">
                  <c:v>100002986.63474962</c:v>
                </c:pt>
                <c:pt idx="6">
                  <c:v>100003062.59594701</c:v>
                </c:pt>
                <c:pt idx="7">
                  <c:v>100003102.80999982</c:v>
                </c:pt>
                <c:pt idx="8">
                  <c:v>100003142.72000772</c:v>
                </c:pt>
                <c:pt idx="9">
                  <c:v>100003184.33675888</c:v>
                </c:pt>
                <c:pt idx="10">
                  <c:v>100003235.54140131</c:v>
                </c:pt>
                <c:pt idx="11">
                  <c:v>100003306.37143393</c:v>
                </c:pt>
                <c:pt idx="12">
                  <c:v>100003356.14174192</c:v>
                </c:pt>
                <c:pt idx="13">
                  <c:v>100003427.06113796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29-4AB3-8BDB-35486C0B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214593</xdr:colOff>
      <xdr:row>28</xdr:row>
      <xdr:rowOff>39556</xdr:rowOff>
    </xdr:from>
    <xdr:to>
      <xdr:col>9</xdr:col>
      <xdr:colOff>566458</xdr:colOff>
      <xdr:row>49</xdr:row>
      <xdr:rowOff>58381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A5C17-3BE3-4A79-9ABA-DE4401CA5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390525</xdr:colOff>
      <xdr:row>25</xdr:row>
      <xdr:rowOff>85164</xdr:rowOff>
    </xdr:from>
    <xdr:to>
      <xdr:col>21</xdr:col>
      <xdr:colOff>457873</xdr:colOff>
      <xdr:row>46</xdr:row>
      <xdr:rowOff>103989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DB561-8523-4A39-A02C-D7A260DE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iyanang\Desktop\1%20Ohm.xlsx" TargetMode="External"/><Relationship Id="rId1" Type="http://schemas.openxmlformats.org/officeDocument/2006/relationships/externalLinkPath" Target="https://keysighttech.sharepoint.com/sites/PG3458AGoldCal/Shared%20Documents/ETEs%20Performance%20and%20Management/Resistance%20Standards/1%20O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Ohm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ang-Yen Neng" id="{AC4A29FD-2C97-4731-8969-4E5B2D5A7ED7}" userId="siang-yen_neng@keysight.com" providerId="PeoplePicker"/>
  <person displayName="Zi-Yang Ang" id="{4AAD5F85-511D-4791-9FFF-C9AF4F063182}" userId="S::zi-yang.ang@non.keysight.com::6ec80dae-b2a0-4d1b-90f8-6d857c105e2d" providerId="AD"/>
</personList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4-07-25T06:31:26.03" personId="{4AAD5F85-511D-4791-9FFF-C9AF4F063182}" id="{E3EB7947-3164-42F5-804A-43DEB1884025}">
    <text xml:space="preserve">This data point observed to be outside the regression limits was measured years ago before the current analysis was implemented. </text>
  </threadedComment>
  <threadedComment ref="F6" dT="2024-07-25T06:31:43.53" personId="{4AAD5F85-511D-4791-9FFF-C9AF4F063182}" id="{854DBDC3-7A10-47EE-B784-9B458F215B00}" parentId="{E3EB7947-3164-42F5-804A-43DEB1884025}">
    <text xml:space="preserve">@Siang-Yen Neng </text>
    <mentions>
      <mention mentionpersonId="{AC4A29FD-2C97-4731-8969-4E5B2D5A7ED7}" mentionId="{990BCC33-D050-4D1E-B75A-9646A2A4980F}" startIndex="0" length="15"/>
    </mentions>
  </threadedComment>
  <threadedComment ref="F8" dT="2024-07-25T06:31:30.89" personId="{4AAD5F85-511D-4791-9FFF-C9AF4F063182}" id="{A64800CC-AF19-4CD3-8258-E1959BB3AA33}">
    <text xml:space="preserve">This data point observed to be outside the regression limits was measured years ago before the current analysis was implemented. 
</text>
  </threadedComment>
  <threadedComment ref="F8" dT="2024-07-25T06:31:36.36" personId="{4AAD5F85-511D-4791-9FFF-C9AF4F063182}" id="{7C027BE0-FC1E-49A1-BD49-57D1B6E36248}" parentId="{A64800CC-AF19-4CD3-8258-E1959BB3AA33}">
    <text xml:space="preserve">@Siang-Yen Neng </text>
    <mentions>
      <mention mentionpersonId="{AC4A29FD-2C97-4731-8969-4E5B2D5A7ED7}" mentionId="{4497B7E7-14BA-430C-804B-FA85C65FB79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81DB-A399-4158-BCD9-99AFB5372D0E}">
  <sheetPr>
    <tabColor theme="9" tint="0.39997558519241921"/>
  </sheetPr>
  <dimension ref="A1:X28"/>
  <sheetViews>
    <sheetView tabSelected="1" zoomScaleNormal="100" workbookViewId="0">
      <selection activeCell="T2" sqref="T2"/>
    </sheetView>
  </sheetViews>
  <sheetFormatPr defaultColWidth="8.85546875" defaultRowHeight="12" x14ac:dyDescent="0.25"/>
  <cols>
    <col min="1" max="1" width="11" style="1" customWidth="1"/>
    <col min="2" max="2" width="18.140625" style="1" bestFit="1" customWidth="1"/>
    <col min="3" max="3" width="17.28515625" style="1" bestFit="1" customWidth="1"/>
    <col min="4" max="4" width="10.140625" style="1" bestFit="1" customWidth="1"/>
    <col min="5" max="5" width="11.42578125" style="1" bestFit="1" customWidth="1"/>
    <col min="6" max="6" width="10.28515625" style="1" bestFit="1" customWidth="1"/>
    <col min="7" max="7" width="10" style="1" bestFit="1" customWidth="1"/>
    <col min="8" max="8" width="12.42578125" style="1" bestFit="1" customWidth="1"/>
    <col min="9" max="9" width="13.5703125" style="1" bestFit="1" customWidth="1"/>
    <col min="10" max="10" width="12.42578125" style="1" bestFit="1" customWidth="1"/>
    <col min="11" max="11" width="1" style="1" customWidth="1"/>
    <col min="12" max="12" width="8.42578125" style="1" bestFit="1" customWidth="1"/>
    <col min="13" max="13" width="12" style="1" bestFit="1" customWidth="1"/>
    <col min="14" max="14" width="1" style="1" customWidth="1"/>
    <col min="15" max="15" width="10.5703125" style="1" customWidth="1"/>
    <col min="16" max="16" width="18.140625" style="1" bestFit="1" customWidth="1"/>
    <col min="17" max="17" width="17.28515625" style="1" bestFit="1" customWidth="1"/>
    <col min="18" max="18" width="10.140625" style="1" bestFit="1" customWidth="1"/>
    <col min="19" max="20" width="11.42578125" style="1" bestFit="1" customWidth="1"/>
    <col min="21" max="21" width="10" style="1" bestFit="1" customWidth="1"/>
    <col min="22" max="23" width="12.42578125" style="1" bestFit="1" customWidth="1"/>
    <col min="24" max="24" width="12.5703125" style="1" bestFit="1" customWidth="1"/>
    <col min="25" max="26" width="8.85546875" style="1"/>
    <col min="27" max="27" width="13.42578125" style="1" customWidth="1"/>
    <col min="28" max="16384" width="8.85546875" style="1"/>
  </cols>
  <sheetData>
    <row r="1" spans="1:24" x14ac:dyDescent="0.25">
      <c r="A1" s="8"/>
      <c r="B1" s="9" t="s">
        <v>0</v>
      </c>
      <c r="C1" s="11" t="s">
        <v>1</v>
      </c>
      <c r="D1" s="11">
        <v>63438</v>
      </c>
      <c r="E1" s="8"/>
      <c r="F1" s="8"/>
      <c r="G1" s="8"/>
      <c r="H1" s="23" t="s">
        <v>2</v>
      </c>
      <c r="I1" s="23"/>
      <c r="J1" s="23"/>
      <c r="K1" s="13"/>
      <c r="L1" s="24" t="s">
        <v>3</v>
      </c>
      <c r="M1" s="24"/>
      <c r="N1" s="13"/>
      <c r="O1" s="8"/>
      <c r="P1" s="9" t="s">
        <v>0</v>
      </c>
      <c r="Q1" s="11" t="s">
        <v>4</v>
      </c>
      <c r="R1" s="11">
        <v>63433</v>
      </c>
      <c r="S1" s="8"/>
      <c r="T1" s="8"/>
      <c r="U1" s="8"/>
      <c r="V1" s="23" t="s">
        <v>2</v>
      </c>
      <c r="W1" s="23"/>
      <c r="X1" s="23"/>
    </row>
    <row r="2" spans="1:24" ht="13.15" customHeight="1" x14ac:dyDescent="0.2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20</v>
      </c>
      <c r="G2" s="9" t="s">
        <v>10</v>
      </c>
      <c r="H2" s="12" t="s">
        <v>11</v>
      </c>
      <c r="I2" s="12" t="s">
        <v>12</v>
      </c>
      <c r="J2" s="12" t="s">
        <v>13</v>
      </c>
      <c r="K2" s="13"/>
      <c r="L2" s="14" t="s">
        <v>14</v>
      </c>
      <c r="M2" s="15">
        <f ca="1">COUNT(Known_ys_PN010017)</f>
        <v>25</v>
      </c>
      <c r="N2" s="13"/>
      <c r="O2" s="9" t="s">
        <v>5</v>
      </c>
      <c r="P2" s="9" t="s">
        <v>6</v>
      </c>
      <c r="Q2" s="9" t="s">
        <v>7</v>
      </c>
      <c r="R2" s="9" t="s">
        <v>8</v>
      </c>
      <c r="S2" s="9" t="s">
        <v>9</v>
      </c>
      <c r="T2" s="10" t="s">
        <v>20</v>
      </c>
      <c r="U2" s="9" t="s">
        <v>10</v>
      </c>
      <c r="V2" s="12" t="s">
        <v>11</v>
      </c>
      <c r="W2" s="12" t="s">
        <v>12</v>
      </c>
      <c r="X2" s="12" t="s">
        <v>13</v>
      </c>
    </row>
    <row r="3" spans="1:24" x14ac:dyDescent="0.25">
      <c r="A3" s="6">
        <v>40981</v>
      </c>
      <c r="B3" s="2">
        <v>0</v>
      </c>
      <c r="C3" s="2">
        <v>0</v>
      </c>
      <c r="D3" s="5">
        <f t="shared" ref="D3:D22" si="0">(F3-100000000)/100000000*1000000</f>
        <v>13.5</v>
      </c>
      <c r="E3" s="5"/>
      <c r="F3" s="2">
        <v>100001350</v>
      </c>
      <c r="G3" s="3">
        <v>9000</v>
      </c>
      <c r="H3" s="17">
        <f t="shared" ref="H3:H28" ca="1" si="1">_xlfn.FORECAST.LINEAR($C3,Known_ys_PN010017,Known_xs_PN010017)</f>
        <v>100002907.57311535</v>
      </c>
      <c r="I3" s="17">
        <f t="shared" ref="I3:I28" ca="1" si="2">$H3-ABS(_xlfn.T.INV(0.025,df_PN010017))*(Syx_PN010017*SQRT(1+1/n_PN010017+($C3-XBar_PN010017)^2/SSx_PN010017))</f>
        <v>99999157.040379748</v>
      </c>
      <c r="J3" s="17">
        <f t="shared" ref="J3:J28" ca="1" si="3">$H3+ABS(_xlfn.T.INV(0.025,df_PN010017))*(Syx_PN010017*SQRT(1+1/n_PN010017+($C3-XBar_PN010017)^2/SSx_PN010017))</f>
        <v>100006658.10585095</v>
      </c>
      <c r="K3" s="13"/>
      <c r="L3" s="14" t="s">
        <v>15</v>
      </c>
      <c r="M3" s="15" cm="1">
        <f t="array" aca="1" ref="M3" ca="1">n_PN010017-2</f>
        <v>23</v>
      </c>
      <c r="N3" s="13"/>
      <c r="O3" s="6">
        <v>42864</v>
      </c>
      <c r="P3" s="2">
        <v>0</v>
      </c>
      <c r="Q3" s="2">
        <v>0</v>
      </c>
      <c r="R3" s="5">
        <f t="shared" ref="R3:R11" si="4">(T3-100000000)/100000000*1000000</f>
        <v>21.6</v>
      </c>
      <c r="S3" s="5"/>
      <c r="T3" s="2">
        <v>100002160</v>
      </c>
      <c r="U3" s="3">
        <v>2600</v>
      </c>
      <c r="V3" s="17">
        <f t="shared" ref="V3:V16" ca="1" si="5">_xlfn.FORECAST.LINEAR($Q3,Known_ys_PN010016,Known_xs_PN010016)</f>
        <v>100002137.66530409</v>
      </c>
      <c r="W3" s="17" cm="1">
        <f t="array" aca="1" ref="W3" ca="1">$V3-ABS(_xlfn.T.INV(0.025,df_PN010016))*(Syx_PN010016*SQRT(1+1/n_PN010016+($Q3-XBar_PN010016)^2/SSx_PN010016))</f>
        <v>100001399.79193933</v>
      </c>
      <c r="X3" s="17" cm="1">
        <f t="array" aca="1" ref="X3" ca="1">$V3+ABS(_xlfn.T.INV(0.025,df_PN010016))*(Syx_PN010016*SQRT(1+1/n_PN010016+($Q3-XBar_PN010016)^2/SSx_PN010016))</f>
        <v>100002875.53866886</v>
      </c>
    </row>
    <row r="4" spans="1:24" x14ac:dyDescent="0.25">
      <c r="A4" s="6">
        <v>41191</v>
      </c>
      <c r="B4" s="2">
        <f t="shared" ref="B4:B24" si="6">A4-A3</f>
        <v>210</v>
      </c>
      <c r="C4" s="2">
        <f>SUM(B$4:B4)</f>
        <v>210</v>
      </c>
      <c r="D4" s="5">
        <f t="shared" si="0"/>
        <v>32</v>
      </c>
      <c r="E4" s="4">
        <f t="shared" ref="E4:E24" si="7">D4-D3</f>
        <v>18.5</v>
      </c>
      <c r="F4" s="2">
        <v>100003200</v>
      </c>
      <c r="G4" s="3">
        <v>9000</v>
      </c>
      <c r="H4" s="17">
        <f t="shared" ca="1" si="1"/>
        <v>100002770.77339868</v>
      </c>
      <c r="I4" s="17">
        <f t="shared" ca="1" si="2"/>
        <v>99999052.913345411</v>
      </c>
      <c r="J4" s="17">
        <f t="shared" ca="1" si="3"/>
        <v>100006488.63345195</v>
      </c>
      <c r="K4" s="13"/>
      <c r="L4" s="14" t="s">
        <v>16</v>
      </c>
      <c r="M4" s="15">
        <f ca="1">AVERAGE(Known_xs_PN010017)</f>
        <v>2476.92</v>
      </c>
      <c r="N4" s="13"/>
      <c r="O4" s="6">
        <v>43096</v>
      </c>
      <c r="P4" s="2">
        <f t="shared" ref="P4:P13" si="8">O4-O3</f>
        <v>232</v>
      </c>
      <c r="Q4" s="2">
        <f>SUM(P$4:P4)</f>
        <v>232</v>
      </c>
      <c r="R4" s="5">
        <f t="shared" si="4"/>
        <v>25.400000000000002</v>
      </c>
      <c r="S4" s="4">
        <f t="shared" ref="S4:S13" si="9">R4-R3</f>
        <v>3.8000000000000007</v>
      </c>
      <c r="T4" s="2">
        <v>100002540</v>
      </c>
      <c r="U4" s="3">
        <v>2400</v>
      </c>
      <c r="V4" s="17">
        <f t="shared" ca="1" si="5"/>
        <v>100002176.1485993</v>
      </c>
      <c r="W4" s="17" cm="1">
        <f t="array" aca="1" ref="W4" ca="1">$V4-ABS(_xlfn.T.INV(0.025,df_PN010016))*(Syx_PN010016*SQRT(1+1/n_PN010016+($Q4-XBar_PN010016)^2/SSx_PN010016))</f>
        <v>100001454.59763041</v>
      </c>
      <c r="X4" s="17" cm="1">
        <f t="array" aca="1" ref="X4" ca="1">$V4+ABS(_xlfn.T.INV(0.025,df_PN010016))*(Syx_PN010016*SQRT(1+1/n_PN010016+($Q4-XBar_PN010016)^2/SSx_PN010016))</f>
        <v>100002897.69956818</v>
      </c>
    </row>
    <row r="5" spans="1:24" x14ac:dyDescent="0.25">
      <c r="A5" s="6">
        <v>41395</v>
      </c>
      <c r="B5" s="2">
        <f t="shared" si="6"/>
        <v>204</v>
      </c>
      <c r="C5" s="2">
        <f>SUM(B$4:B5)</f>
        <v>414</v>
      </c>
      <c r="D5" s="5">
        <f t="shared" si="0"/>
        <v>36.900000000000006</v>
      </c>
      <c r="E5" s="4">
        <f t="shared" si="7"/>
        <v>4.9000000000000057</v>
      </c>
      <c r="F5" s="2">
        <v>100003690</v>
      </c>
      <c r="G5" s="3">
        <v>9000</v>
      </c>
      <c r="H5" s="17">
        <f t="shared" ca="1" si="1"/>
        <v>100002637.88224533</v>
      </c>
      <c r="I5" s="17">
        <f t="shared" ca="1" si="2"/>
        <v>99998949.233505607</v>
      </c>
      <c r="J5" s="17">
        <f t="shared" ca="1" si="3"/>
        <v>100006326.53098506</v>
      </c>
      <c r="K5" s="13"/>
      <c r="L5" s="14" t="s">
        <v>17</v>
      </c>
      <c r="M5" s="15">
        <f ca="1">STEYX(Known_ys_PN010017,Known_xs_PN010017)</f>
        <v>1680.1741368515959</v>
      </c>
      <c r="N5" s="13"/>
      <c r="O5" s="6">
        <v>43293</v>
      </c>
      <c r="P5" s="2">
        <f t="shared" si="8"/>
        <v>197</v>
      </c>
      <c r="Q5" s="2">
        <f>SUM(P$4:P5)</f>
        <v>429</v>
      </c>
      <c r="R5" s="5">
        <f t="shared" si="4"/>
        <v>19.939999999999998</v>
      </c>
      <c r="S5" s="4">
        <f t="shared" si="9"/>
        <v>-5.4600000000000044</v>
      </c>
      <c r="T5" s="2">
        <v>100001994</v>
      </c>
      <c r="U5" s="3">
        <v>2400</v>
      </c>
      <c r="V5" s="17">
        <f t="shared" ca="1" si="5"/>
        <v>100002208.82622498</v>
      </c>
      <c r="W5" s="17" cm="1">
        <f t="array" aca="1" ref="W5" ca="1">$V5-ABS(_xlfn.T.INV(0.025,df_PN010016))*(Syx_PN010016*SQRT(1+1/n_PN010016+($Q5-XBar_PN010016)^2/SSx_PN010016))</f>
        <v>100001499.03380629</v>
      </c>
      <c r="X5" s="17" cm="1">
        <f t="array" aca="1" ref="X5" ca="1">$V5+ABS(_xlfn.T.INV(0.025,df_PN010016))*(Syx_PN010016*SQRT(1+1/n_PN010016+($Q5-XBar_PN010016)^2/SSx_PN010016))</f>
        <v>100002918.61864367</v>
      </c>
    </row>
    <row r="6" spans="1:24" x14ac:dyDescent="0.25">
      <c r="A6" s="18">
        <v>41592</v>
      </c>
      <c r="B6" s="19">
        <f t="shared" si="6"/>
        <v>197</v>
      </c>
      <c r="C6" s="19">
        <f>SUM(B$4:B6)</f>
        <v>611</v>
      </c>
      <c r="D6" s="20">
        <f t="shared" si="0"/>
        <v>76.900000000000006</v>
      </c>
      <c r="E6" s="21">
        <f t="shared" si="7"/>
        <v>40</v>
      </c>
      <c r="F6" s="19">
        <v>100007690</v>
      </c>
      <c r="G6" s="22">
        <v>6000</v>
      </c>
      <c r="H6" s="21">
        <f t="shared" ca="1" si="1"/>
        <v>100002509.55108255</v>
      </c>
      <c r="I6" s="21">
        <f t="shared" ca="1" si="2"/>
        <v>99998846.690283209</v>
      </c>
      <c r="J6" s="21">
        <f t="shared" ca="1" si="3"/>
        <v>100006172.41188189</v>
      </c>
      <c r="K6" s="13"/>
      <c r="L6" s="14" t="s">
        <v>18</v>
      </c>
      <c r="M6" s="15">
        <f ca="1">DEVSQ(Known_xs_PN010017)</f>
        <v>49320015.839999996</v>
      </c>
      <c r="N6" s="13"/>
      <c r="O6" s="6">
        <v>43515</v>
      </c>
      <c r="P6" s="2">
        <f t="shared" si="8"/>
        <v>222</v>
      </c>
      <c r="Q6" s="2">
        <f>SUM(P$4:P6)</f>
        <v>651</v>
      </c>
      <c r="R6" s="5">
        <f t="shared" si="4"/>
        <v>22.4</v>
      </c>
      <c r="S6" s="4">
        <f t="shared" si="9"/>
        <v>2.4600000000000009</v>
      </c>
      <c r="T6" s="2">
        <v>100002240</v>
      </c>
      <c r="U6" s="3">
        <v>2400</v>
      </c>
      <c r="V6" s="17">
        <f t="shared" ca="1" si="5"/>
        <v>100002245.65075746</v>
      </c>
      <c r="W6" s="17" cm="1">
        <f t="array" aca="1" ref="W6" ca="1">$V6-ABS(_xlfn.T.INV(0.025,df_PN010016))*(Syx_PN010016*SQRT(1+1/n_PN010016+($Q6-XBar_PN010016)^2/SSx_PN010016))</f>
        <v>100001546.66734391</v>
      </c>
      <c r="X6" s="17" cm="1">
        <f t="array" aca="1" ref="X6" ca="1">$V6+ABS(_xlfn.T.INV(0.025,df_PN010016))*(Syx_PN010016*SQRT(1+1/n_PN010016+($Q6-XBar_PN010016)^2/SSx_PN010016))</f>
        <v>100002944.63417101</v>
      </c>
    </row>
    <row r="7" spans="1:24" x14ac:dyDescent="0.25">
      <c r="A7" s="6">
        <v>41820</v>
      </c>
      <c r="B7" s="2">
        <f t="shared" si="6"/>
        <v>228</v>
      </c>
      <c r="C7" s="2">
        <f>SUM(B$4:B7)</f>
        <v>839</v>
      </c>
      <c r="D7" s="5">
        <f t="shared" si="0"/>
        <v>51.199999999999996</v>
      </c>
      <c r="E7" s="4">
        <f t="shared" si="7"/>
        <v>-25.70000000000001</v>
      </c>
      <c r="F7" s="2">
        <v>100005120</v>
      </c>
      <c r="G7" s="3">
        <v>6000</v>
      </c>
      <c r="H7" s="17">
        <f t="shared" ca="1" si="1"/>
        <v>100002361.02567588</v>
      </c>
      <c r="I7" s="17">
        <f t="shared" ca="1" si="2"/>
        <v>99998724.974059254</v>
      </c>
      <c r="J7" s="17">
        <f t="shared" ca="1" si="3"/>
        <v>100005997.0772925</v>
      </c>
      <c r="K7" s="13"/>
      <c r="L7" s="13"/>
      <c r="M7" s="13"/>
      <c r="N7" s="13"/>
      <c r="O7" s="6">
        <v>43689</v>
      </c>
      <c r="P7" s="2">
        <f t="shared" si="8"/>
        <v>174</v>
      </c>
      <c r="Q7" s="2">
        <f>SUM(P$4:P7)</f>
        <v>825</v>
      </c>
      <c r="R7" s="5">
        <f t="shared" si="4"/>
        <v>20.7</v>
      </c>
      <c r="S7" s="4">
        <f t="shared" si="9"/>
        <v>-1.6999999999999993</v>
      </c>
      <c r="T7" s="2">
        <v>100002070</v>
      </c>
      <c r="U7" s="3">
        <v>2400</v>
      </c>
      <c r="V7" s="17">
        <f t="shared" ca="1" si="5"/>
        <v>100002274.51322886</v>
      </c>
      <c r="W7" s="17" cm="1">
        <f t="array" aca="1" ref="W7" ca="1">$V7-ABS(_xlfn.T.INV(0.025,df_PN010016))*(Syx_PN010016*SQRT(1+1/n_PN010016+($Q7-XBar_PN010016)^2/SSx_PN010016))</f>
        <v>100001582.11709417</v>
      </c>
      <c r="X7" s="17" cm="1">
        <f t="array" aca="1" ref="X7" ca="1">$V7+ABS(_xlfn.T.INV(0.025,df_PN010016))*(Syx_PN010016*SQRT(1+1/n_PN010016+($Q7-XBar_PN010016)^2/SSx_PN010016))</f>
        <v>100002966.90936355</v>
      </c>
    </row>
    <row r="8" spans="1:24" x14ac:dyDescent="0.25">
      <c r="A8" s="18">
        <v>42009</v>
      </c>
      <c r="B8" s="19">
        <f t="shared" si="6"/>
        <v>189</v>
      </c>
      <c r="C8" s="19">
        <f>SUM(B$4:B8)</f>
        <v>1028</v>
      </c>
      <c r="D8" s="20">
        <f t="shared" si="0"/>
        <v>-16.7</v>
      </c>
      <c r="E8" s="21">
        <f t="shared" si="7"/>
        <v>-67.899999999999991</v>
      </c>
      <c r="F8" s="19">
        <v>99998330</v>
      </c>
      <c r="G8" s="22">
        <v>500</v>
      </c>
      <c r="H8" s="21">
        <f t="shared" ca="1" si="1"/>
        <v>100002237.90593088</v>
      </c>
      <c r="I8" s="21">
        <f t="shared" ca="1" si="2"/>
        <v>99998621.558425024</v>
      </c>
      <c r="J8" s="21">
        <f t="shared" ca="1" si="3"/>
        <v>100005854.25343673</v>
      </c>
      <c r="K8" s="13"/>
      <c r="L8" s="24" t="s">
        <v>19</v>
      </c>
      <c r="M8" s="24"/>
      <c r="N8" s="13"/>
      <c r="O8" s="6">
        <v>43833</v>
      </c>
      <c r="P8" s="2">
        <f t="shared" si="8"/>
        <v>144</v>
      </c>
      <c r="Q8" s="2">
        <f>SUM(P$4:P8)</f>
        <v>969</v>
      </c>
      <c r="R8" s="5">
        <f t="shared" si="4"/>
        <v>25.9</v>
      </c>
      <c r="S8" s="4">
        <f t="shared" si="9"/>
        <v>5.1999999999999993</v>
      </c>
      <c r="T8" s="2">
        <v>100002590</v>
      </c>
      <c r="U8" s="3">
        <v>2400</v>
      </c>
      <c r="V8" s="17">
        <f t="shared" ca="1" si="5"/>
        <v>100002298.39941211</v>
      </c>
      <c r="W8" s="17" cm="1">
        <f t="array" aca="1" ref="W8" ca="1">$V8-ABS(_xlfn.T.INV(0.025,df_PN010016))*(Syx_PN010016*SQRT(1+1/n_PN010016+($Q8-XBar_PN010016)^2/SSx_PN010016))</f>
        <v>100001610.1640746</v>
      </c>
      <c r="X8" s="17" cm="1">
        <f t="array" aca="1" ref="X8" ca="1">$V8+ABS(_xlfn.T.INV(0.025,df_PN010016))*(Syx_PN010016*SQRT(1+1/n_PN010016+($Q8-XBar_PN010016)^2/SSx_PN010016))</f>
        <v>100002986.63474962</v>
      </c>
    </row>
    <row r="9" spans="1:24" x14ac:dyDescent="0.25">
      <c r="A9" s="6">
        <v>42221</v>
      </c>
      <c r="B9" s="2">
        <f t="shared" si="6"/>
        <v>212</v>
      </c>
      <c r="C9" s="2">
        <f>SUM(B$4:B9)</f>
        <v>1240</v>
      </c>
      <c r="D9" s="5">
        <f t="shared" si="0"/>
        <v>11.7</v>
      </c>
      <c r="E9" s="4">
        <f t="shared" si="7"/>
        <v>28.4</v>
      </c>
      <c r="F9" s="2">
        <v>100001170</v>
      </c>
      <c r="G9" s="3">
        <v>500</v>
      </c>
      <c r="H9" s="17">
        <f t="shared" ca="1" si="1"/>
        <v>100002099.80335976</v>
      </c>
      <c r="I9" s="17">
        <f t="shared" ca="1" si="2"/>
        <v>99998502.790712297</v>
      </c>
      <c r="J9" s="17">
        <f t="shared" ca="1" si="3"/>
        <v>100005696.81600723</v>
      </c>
      <c r="K9" s="13"/>
      <c r="L9" s="14" t="s">
        <v>14</v>
      </c>
      <c r="M9" s="15">
        <f ca="1">COUNT(Known_ys_PN010016)</f>
        <v>13</v>
      </c>
      <c r="N9" s="13"/>
      <c r="O9" s="6">
        <v>44322</v>
      </c>
      <c r="P9" s="2">
        <f t="shared" si="8"/>
        <v>489</v>
      </c>
      <c r="Q9" s="2">
        <f>SUM(P$4:P9)</f>
        <v>1458</v>
      </c>
      <c r="R9" s="5">
        <f t="shared" si="4"/>
        <v>25</v>
      </c>
      <c r="S9" s="4">
        <f t="shared" si="9"/>
        <v>-0.89999999999999858</v>
      </c>
      <c r="T9" s="2">
        <v>100002500</v>
      </c>
      <c r="U9" s="3">
        <v>2400</v>
      </c>
      <c r="V9" s="17">
        <f t="shared" ca="1" si="5"/>
        <v>100002379.51290934</v>
      </c>
      <c r="W9" s="17" cm="1">
        <f t="array" aca="1" ref="W9" ca="1">$V9-ABS(_xlfn.T.INV(0.025,df_PN010016))*(Syx_PN010016*SQRT(1+1/n_PN010016+($Q9-XBar_PN010016)^2/SSx_PN010016))</f>
        <v>100001696.42987166</v>
      </c>
      <c r="X9" s="17" cm="1">
        <f t="array" aca="1" ref="X9" ca="1">$V9+ABS(_xlfn.T.INV(0.025,df_PN010016))*(Syx_PN010016*SQRT(1+1/n_PN010016+($Q9-XBar_PN010016)^2/SSx_PN010016))</f>
        <v>100003062.59594701</v>
      </c>
    </row>
    <row r="10" spans="1:24" x14ac:dyDescent="0.25">
      <c r="A10" s="6">
        <v>42474</v>
      </c>
      <c r="B10" s="2">
        <f t="shared" si="6"/>
        <v>253</v>
      </c>
      <c r="C10" s="2">
        <f>SUM(B$4:B10)</f>
        <v>1493</v>
      </c>
      <c r="D10" s="5">
        <f t="shared" si="0"/>
        <v>15.299999999999999</v>
      </c>
      <c r="E10" s="4">
        <f t="shared" si="7"/>
        <v>3.5999999999999996</v>
      </c>
      <c r="F10" s="2">
        <v>100001530</v>
      </c>
      <c r="G10" s="3">
        <v>500</v>
      </c>
      <c r="H10" s="17">
        <f t="shared" ca="1" si="1"/>
        <v>100001934.99227253</v>
      </c>
      <c r="I10" s="17">
        <f t="shared" ca="1" si="2"/>
        <v>99998357.161363736</v>
      </c>
      <c r="J10" s="17">
        <f t="shared" ca="1" si="3"/>
        <v>100005512.82318132</v>
      </c>
      <c r="K10" s="13"/>
      <c r="L10" s="14" t="s">
        <v>15</v>
      </c>
      <c r="M10" s="15" cm="1">
        <f t="array" aca="1" ref="M10" ca="1">n_PN010016-2</f>
        <v>11</v>
      </c>
      <c r="N10" s="13"/>
      <c r="O10" s="6">
        <v>44550</v>
      </c>
      <c r="P10" s="2">
        <f t="shared" si="8"/>
        <v>228</v>
      </c>
      <c r="Q10" s="2">
        <f>SUM(P$4:P10)</f>
        <v>1686</v>
      </c>
      <c r="R10" s="5">
        <f t="shared" si="4"/>
        <v>24</v>
      </c>
      <c r="S10" s="4">
        <f t="shared" si="9"/>
        <v>-1</v>
      </c>
      <c r="T10" s="2">
        <v>100002400</v>
      </c>
      <c r="U10" s="3">
        <v>2400</v>
      </c>
      <c r="V10" s="17">
        <f t="shared" ca="1" si="5"/>
        <v>100002417.33269945</v>
      </c>
      <c r="W10" s="17" cm="1">
        <f t="array" aca="1" ref="W10" ca="1">$V10-ABS(_xlfn.T.INV(0.025,df_PN010016))*(Syx_PN010016*SQRT(1+1/n_PN010016+($Q10-XBar_PN010016)^2/SSx_PN010016))</f>
        <v>100001731.85539907</v>
      </c>
      <c r="X10" s="17" cm="1">
        <f t="array" aca="1" ref="X10" ca="1">$V10+ABS(_xlfn.T.INV(0.025,df_PN010016))*(Syx_PN010016*SQRT(1+1/n_PN010016+($Q10-XBar_PN010016)^2/SSx_PN010016))</f>
        <v>100003102.80999982</v>
      </c>
    </row>
    <row r="11" spans="1:24" x14ac:dyDescent="0.25">
      <c r="A11" s="6">
        <v>42983</v>
      </c>
      <c r="B11" s="2">
        <f t="shared" si="6"/>
        <v>509</v>
      </c>
      <c r="C11" s="2">
        <f>SUM(B$4:B11)</f>
        <v>2002</v>
      </c>
      <c r="D11" s="5">
        <f t="shared" si="0"/>
        <v>6.7</v>
      </c>
      <c r="E11" s="4">
        <f t="shared" si="7"/>
        <v>-8.5999999999999979</v>
      </c>
      <c r="F11" s="2">
        <v>100000670</v>
      </c>
      <c r="G11" s="3">
        <v>430</v>
      </c>
      <c r="H11" s="17">
        <f t="shared" ca="1" si="1"/>
        <v>100001603.4158164</v>
      </c>
      <c r="I11" s="17">
        <f t="shared" ca="1" si="2"/>
        <v>99998051.093659252</v>
      </c>
      <c r="J11" s="17">
        <f t="shared" ca="1" si="3"/>
        <v>100005155.73797354</v>
      </c>
      <c r="K11" s="13"/>
      <c r="L11" s="14" t="s">
        <v>16</v>
      </c>
      <c r="M11" s="15">
        <f ca="1">AVERAGE(Known_xs_PN010016)</f>
        <v>1393.2307692307693</v>
      </c>
      <c r="N11" s="13"/>
      <c r="O11" s="6">
        <v>44761</v>
      </c>
      <c r="P11" s="2">
        <f t="shared" si="8"/>
        <v>211</v>
      </c>
      <c r="Q11" s="2">
        <f>SUM(P$4:P11)</f>
        <v>1897</v>
      </c>
      <c r="R11" s="5">
        <f t="shared" si="4"/>
        <v>18</v>
      </c>
      <c r="S11" s="4">
        <f t="shared" si="9"/>
        <v>-6</v>
      </c>
      <c r="T11" s="2">
        <v>100001800</v>
      </c>
      <c r="U11" s="3">
        <v>2400</v>
      </c>
      <c r="V11" s="17">
        <f t="shared" ca="1" si="5"/>
        <v>100002452.33259295</v>
      </c>
      <c r="W11" s="17" cm="1">
        <f t="array" aca="1" ref="W11" ca="1">$V11-ABS(_xlfn.T.INV(0.025,df_PN010016))*(Syx_PN010016*SQRT(1+1/n_PN010016+($Q11-XBar_PN010016)^2/SSx_PN010016))</f>
        <v>100001761.94517818</v>
      </c>
      <c r="X11" s="17" cm="1">
        <f t="array" aca="1" ref="X11" ca="1">$V11+ABS(_xlfn.T.INV(0.025,df_PN010016))*(Syx_PN010016*SQRT(1+1/n_PN010016+($Q11-XBar_PN010016)^2/SSx_PN010016))</f>
        <v>100003142.72000772</v>
      </c>
    </row>
    <row r="12" spans="1:24" x14ac:dyDescent="0.25">
      <c r="A12" s="6">
        <v>43188</v>
      </c>
      <c r="B12" s="2">
        <f t="shared" si="6"/>
        <v>205</v>
      </c>
      <c r="C12" s="2">
        <f>SUM(B$4:B12)</f>
        <v>2207</v>
      </c>
      <c r="D12" s="5">
        <f t="shared" si="0"/>
        <v>5.4</v>
      </c>
      <c r="E12" s="4">
        <f t="shared" si="7"/>
        <v>-1.2999999999999998</v>
      </c>
      <c r="F12" s="2">
        <v>100000540</v>
      </c>
      <c r="G12" s="3">
        <v>430</v>
      </c>
      <c r="H12" s="17">
        <f t="shared" ca="1" si="1"/>
        <v>100001469.87323584</v>
      </c>
      <c r="I12" s="17">
        <f t="shared" ca="1" si="2"/>
        <v>99997922.819242612</v>
      </c>
      <c r="J12" s="17">
        <f t="shared" ca="1" si="3"/>
        <v>100005016.92722906</v>
      </c>
      <c r="K12" s="13"/>
      <c r="L12" s="14" t="s">
        <v>17</v>
      </c>
      <c r="M12" s="15">
        <f ca="1">STEYX(Known_ys_PN010016,Known_xs_PN010016)</f>
        <v>299.00989283542981</v>
      </c>
      <c r="N12" s="13"/>
      <c r="O12" s="6">
        <v>44968</v>
      </c>
      <c r="P12" s="2">
        <f t="shared" si="8"/>
        <v>207</v>
      </c>
      <c r="Q12" s="2">
        <f>SUM(P$4:P12)</f>
        <v>2104</v>
      </c>
      <c r="R12" s="5">
        <f t="shared" ref="R12:R13" si="10">(T12-100000000)/100000000*1000000</f>
        <v>23</v>
      </c>
      <c r="S12" s="4">
        <f t="shared" si="9"/>
        <v>5</v>
      </c>
      <c r="T12" s="2">
        <v>100002300</v>
      </c>
      <c r="U12" s="3">
        <v>2400</v>
      </c>
      <c r="V12" s="17">
        <f t="shared" ca="1" si="5"/>
        <v>100002486.66898134</v>
      </c>
      <c r="W12" s="17" cm="1">
        <f t="array" aca="1" ref="W12" ca="1">$V12-ABS(_xlfn.T.INV(0.025,df_PN010016))*(Syx_PN010016*SQRT(1+1/n_PN010016+($Q12-XBar_PN010016)^2/SSx_PN010016))</f>
        <v>100001789.00120381</v>
      </c>
      <c r="X12" s="17" cm="1">
        <f t="array" aca="1" ref="X12" ca="1">$V12+ABS(_xlfn.T.INV(0.025,df_PN010016))*(Syx_PN010016*SQRT(1+1/n_PN010016+($Q12-XBar_PN010016)^2/SSx_PN010016))</f>
        <v>100003184.33675888</v>
      </c>
    </row>
    <row r="13" spans="1:24" x14ac:dyDescent="0.25">
      <c r="A13" s="6">
        <v>43391</v>
      </c>
      <c r="B13" s="2">
        <f t="shared" si="6"/>
        <v>203</v>
      </c>
      <c r="C13" s="2">
        <f>SUM(B$4:B13)</f>
        <v>2410</v>
      </c>
      <c r="D13" s="5">
        <f t="shared" si="0"/>
        <v>7.3000000000000007</v>
      </c>
      <c r="E13" s="4">
        <f t="shared" si="7"/>
        <v>1.9000000000000004</v>
      </c>
      <c r="F13" s="2">
        <v>100000730</v>
      </c>
      <c r="G13" s="3">
        <v>430</v>
      </c>
      <c r="H13" s="17">
        <f t="shared" ca="1" si="1"/>
        <v>100001337.63350973</v>
      </c>
      <c r="I13" s="17">
        <f t="shared" ca="1" si="2"/>
        <v>99997792.941240385</v>
      </c>
      <c r="J13" s="17">
        <f t="shared" ca="1" si="3"/>
        <v>100004882.32577907</v>
      </c>
      <c r="K13" s="13"/>
      <c r="L13" s="14" t="s">
        <v>18</v>
      </c>
      <c r="M13" s="15">
        <f ca="1">DEVSQ(Known_xs_PN010016)</f>
        <v>10775246.307692308</v>
      </c>
      <c r="N13" s="13"/>
      <c r="O13" s="6">
        <v>45208</v>
      </c>
      <c r="P13" s="2">
        <f t="shared" si="8"/>
        <v>240</v>
      </c>
      <c r="Q13" s="2">
        <f>SUM(P$4:P13)</f>
        <v>2344</v>
      </c>
      <c r="R13" s="5">
        <f t="shared" si="10"/>
        <v>24</v>
      </c>
      <c r="S13" s="4">
        <f t="shared" si="9"/>
        <v>1</v>
      </c>
      <c r="T13" s="2">
        <v>100002400</v>
      </c>
      <c r="U13" s="3">
        <v>2400</v>
      </c>
      <c r="V13" s="17">
        <f t="shared" ca="1" si="5"/>
        <v>100002526.47928673</v>
      </c>
      <c r="W13" s="17" cm="1">
        <f t="array" aca="1" ref="W13" ca="1">$V13-ABS(_xlfn.T.INV(0.025,df_PN010016))*(Syx_PN010016*SQRT(1+1/n_PN010016+($Q13-XBar_PN010016)^2/SSx_PN010016))</f>
        <v>100001817.41717215</v>
      </c>
      <c r="X13" s="17" cm="1">
        <f t="array" aca="1" ref="X13" ca="1">$V13+ABS(_xlfn.T.INV(0.025,df_PN010016))*(Syx_PN010016*SQRT(1+1/n_PN010016+($Q13-XBar_PN010016)^2/SSx_PN010016))</f>
        <v>100003235.54140131</v>
      </c>
    </row>
    <row r="14" spans="1:24" x14ac:dyDescent="0.25">
      <c r="A14" s="6">
        <v>43599</v>
      </c>
      <c r="B14" s="2">
        <f t="shared" si="6"/>
        <v>208</v>
      </c>
      <c r="C14" s="2">
        <f>SUM(B$4:B14)</f>
        <v>2618</v>
      </c>
      <c r="D14" s="5">
        <f t="shared" si="0"/>
        <v>6.25</v>
      </c>
      <c r="E14" s="4">
        <f t="shared" si="7"/>
        <v>-1.0500000000000007</v>
      </c>
      <c r="F14" s="2">
        <v>100000625</v>
      </c>
      <c r="G14" s="3">
        <f t="shared" ref="G14:G28" si="11">0.000024*100000000</f>
        <v>2400</v>
      </c>
      <c r="H14" s="17">
        <f t="shared" ca="1" si="1"/>
        <v>100001202.13664749</v>
      </c>
      <c r="I14" s="17">
        <f t="shared" ca="1" si="2"/>
        <v>99997656.911467388</v>
      </c>
      <c r="J14" s="17">
        <f t="shared" ca="1" si="3"/>
        <v>100004747.3618276</v>
      </c>
      <c r="K14" s="13"/>
      <c r="L14" s="16"/>
      <c r="M14" s="16"/>
      <c r="N14" s="13"/>
      <c r="O14" s="6">
        <v>45519</v>
      </c>
      <c r="P14" s="2">
        <f t="shared" ref="P14" si="12">O14-O13</f>
        <v>311</v>
      </c>
      <c r="Q14" s="2">
        <f>SUM(P$4:P14)</f>
        <v>2655</v>
      </c>
      <c r="R14" s="5">
        <f t="shared" ref="R14" si="13">(T14-100000000)/100000000*1000000</f>
        <v>29</v>
      </c>
      <c r="S14" s="4">
        <f t="shared" ref="S14" si="14">R14-R13</f>
        <v>5</v>
      </c>
      <c r="T14" s="2">
        <v>100002900</v>
      </c>
      <c r="U14" s="3">
        <v>2400</v>
      </c>
      <c r="V14" s="17">
        <f t="shared" ca="1" si="5"/>
        <v>100002578.06680746</v>
      </c>
      <c r="W14" s="17" cm="1">
        <f t="array" aca="1" ref="W14" ca="1">$V14-ABS(_xlfn.T.INV(0.025,df_PN010016))*(Syx_PN010016*SQRT(1+1/n_PN010016+($Q14-XBar_PN010016)^2/SSx_PN010016))</f>
        <v>100001849.762181</v>
      </c>
      <c r="X14" s="17" cm="1">
        <f t="array" aca="1" ref="X14" ca="1">$V14+ABS(_xlfn.T.INV(0.025,df_PN010016))*(Syx_PN010016*SQRT(1+1/n_PN010016+($Q14-XBar_PN010016)^2/SSx_PN010016))</f>
        <v>100003306.37143393</v>
      </c>
    </row>
    <row r="15" spans="1:24" x14ac:dyDescent="0.25">
      <c r="A15" s="6">
        <v>43713</v>
      </c>
      <c r="B15" s="2">
        <f t="shared" si="6"/>
        <v>114</v>
      </c>
      <c r="C15" s="2">
        <f>SUM(B$4:B15)</f>
        <v>2732</v>
      </c>
      <c r="D15" s="5">
        <f t="shared" si="0"/>
        <v>8.5499999999999989</v>
      </c>
      <c r="E15" s="4">
        <f t="shared" si="7"/>
        <v>2.2999999999999989</v>
      </c>
      <c r="F15" s="2">
        <v>100000855</v>
      </c>
      <c r="G15" s="3">
        <f t="shared" si="11"/>
        <v>2400</v>
      </c>
      <c r="H15" s="17">
        <f t="shared" ca="1" si="1"/>
        <v>100001127.87394416</v>
      </c>
      <c r="I15" s="17">
        <f t="shared" ca="1" si="2"/>
        <v>99997581.088964701</v>
      </c>
      <c r="J15" s="17">
        <f t="shared" ca="1" si="3"/>
        <v>100004674.65892363</v>
      </c>
      <c r="K15" s="3"/>
      <c r="L15" s="3"/>
      <c r="M15" s="3"/>
      <c r="O15" s="6">
        <v>45726</v>
      </c>
      <c r="P15" s="2">
        <f t="shared" ref="P15" si="15">O15-O14</f>
        <v>207</v>
      </c>
      <c r="Q15" s="2">
        <f>SUM(P$4:P15)</f>
        <v>2862</v>
      </c>
      <c r="R15" s="5">
        <f t="shared" ref="R15" si="16">(T15-100000000)/100000000*1000000</f>
        <v>29</v>
      </c>
      <c r="S15" s="4">
        <f t="shared" ref="S15" si="17">R15-R14</f>
        <v>0</v>
      </c>
      <c r="T15" s="2">
        <v>100002900</v>
      </c>
      <c r="U15" s="3">
        <v>2400</v>
      </c>
      <c r="V15" s="17">
        <f t="shared" ca="1" si="5"/>
        <v>100002612.40319586</v>
      </c>
      <c r="W15" s="17" cm="1">
        <f t="array" aca="1" ref="W15" ca="1">$V15-ABS(_xlfn.T.INV(0.025,df_PN010016))*(Syx_PN010016*SQRT(1+1/n_PN010016+($Q15-XBar_PN010016)^2/SSx_PN010016))</f>
        <v>100001868.6646498</v>
      </c>
      <c r="X15" s="17" cm="1">
        <f t="array" aca="1" ref="X15" ca="1">$V15+ABS(_xlfn.T.INV(0.025,df_PN010016))*(Syx_PN010016*SQRT(1+1/n_PN010016+($Q15-XBar_PN010016)^2/SSx_PN010016))</f>
        <v>100003356.14174192</v>
      </c>
    </row>
    <row r="16" spans="1:24" x14ac:dyDescent="0.25">
      <c r="A16" s="6">
        <v>43742</v>
      </c>
      <c r="B16" s="2">
        <f t="shared" si="6"/>
        <v>29</v>
      </c>
      <c r="C16" s="2">
        <f>SUM(B$4:B16)</f>
        <v>2761</v>
      </c>
      <c r="D16" s="5">
        <f t="shared" si="0"/>
        <v>7.3900000000000006</v>
      </c>
      <c r="E16" s="4">
        <f t="shared" si="7"/>
        <v>-1.1599999999999984</v>
      </c>
      <c r="F16" s="2">
        <v>100000739</v>
      </c>
      <c r="G16" s="3">
        <f t="shared" si="11"/>
        <v>2400</v>
      </c>
      <c r="H16" s="17">
        <f t="shared" ca="1" si="1"/>
        <v>100001108.98255472</v>
      </c>
      <c r="I16" s="17">
        <f t="shared" ca="1" si="2"/>
        <v>99997561.657716215</v>
      </c>
      <c r="J16" s="17">
        <f t="shared" ca="1" si="3"/>
        <v>100004656.30739322</v>
      </c>
      <c r="K16" s="3"/>
      <c r="L16" s="3"/>
      <c r="M16" s="3"/>
      <c r="O16" s="6">
        <v>46008</v>
      </c>
      <c r="P16" s="2">
        <f t="shared" ref="P16" si="18">O16-O15</f>
        <v>282</v>
      </c>
      <c r="Q16" s="2">
        <f>SUM(P$4:P16)</f>
        <v>3144</v>
      </c>
      <c r="R16" s="5">
        <f t="shared" ref="R16" si="19">(T16-100000000)/100000000*1000000</f>
        <v>27</v>
      </c>
      <c r="S16" s="4">
        <f t="shared" ref="S16" si="20">R16-R15</f>
        <v>-2</v>
      </c>
      <c r="T16" s="2">
        <v>100002700</v>
      </c>
      <c r="U16" s="3">
        <v>2400</v>
      </c>
      <c r="V16" s="17">
        <f t="shared" ca="1" si="5"/>
        <v>100002659.18030469</v>
      </c>
      <c r="W16" s="17" cm="1">
        <f t="array" aca="1" ref="W16" ca="1">$V16-ABS(_xlfn.T.INV(0.025,df_PN010016))*(Syx_PN010016*SQRT(1+1/n_PN010016+($Q16-XBar_PN010016)^2/SSx_PN010016))</f>
        <v>100001891.29947142</v>
      </c>
      <c r="X16" s="17" cm="1">
        <f t="array" aca="1" ref="X16" ca="1">$V16+ABS(_xlfn.T.INV(0.025,df_PN010016))*(Syx_PN010016*SQRT(1+1/n_PN010016+($Q16-XBar_PN010016)^2/SSx_PN010016))</f>
        <v>100003427.06113796</v>
      </c>
    </row>
    <row r="17" spans="1:21" x14ac:dyDescent="0.25">
      <c r="A17" s="6">
        <v>43754</v>
      </c>
      <c r="B17" s="2">
        <f t="shared" si="6"/>
        <v>12</v>
      </c>
      <c r="C17" s="2">
        <f>SUM(B$4:B17)</f>
        <v>2773</v>
      </c>
      <c r="D17" s="5">
        <f t="shared" si="0"/>
        <v>7.7100000000000009</v>
      </c>
      <c r="E17" s="4">
        <f t="shared" si="7"/>
        <v>0.32000000000000028</v>
      </c>
      <c r="F17" s="2">
        <v>100000771</v>
      </c>
      <c r="G17" s="3">
        <f t="shared" si="11"/>
        <v>2400</v>
      </c>
      <c r="H17" s="17">
        <f t="shared" ca="1" si="1"/>
        <v>100001101.16542804</v>
      </c>
      <c r="I17" s="17">
        <f t="shared" ca="1" si="2"/>
        <v>99997553.600238517</v>
      </c>
      <c r="J17" s="17">
        <f t="shared" ca="1" si="3"/>
        <v>100004648.73061757</v>
      </c>
      <c r="K17" s="3"/>
      <c r="L17" s="3"/>
      <c r="M17" s="3"/>
      <c r="O17" s="6"/>
      <c r="P17" s="2"/>
      <c r="Q17" s="2"/>
      <c r="R17" s="5"/>
      <c r="S17" s="4"/>
      <c r="T17" s="7"/>
      <c r="U17" s="3"/>
    </row>
    <row r="18" spans="1:21" x14ac:dyDescent="0.25">
      <c r="A18" s="6">
        <v>43971</v>
      </c>
      <c r="B18" s="2">
        <f t="shared" si="6"/>
        <v>217</v>
      </c>
      <c r="C18" s="2">
        <f>SUM(B$4:B18)</f>
        <v>2990</v>
      </c>
      <c r="D18" s="5">
        <f t="shared" si="0"/>
        <v>5</v>
      </c>
      <c r="E18" s="4">
        <f t="shared" si="7"/>
        <v>-2.7100000000000009</v>
      </c>
      <c r="F18" s="2">
        <v>100000500</v>
      </c>
      <c r="G18" s="3">
        <f t="shared" si="11"/>
        <v>2400</v>
      </c>
      <c r="H18" s="17">
        <f t="shared" ca="1" si="1"/>
        <v>100000959.80572082</v>
      </c>
      <c r="I18" s="17">
        <f t="shared" ca="1" si="2"/>
        <v>99997406.183974311</v>
      </c>
      <c r="J18" s="17">
        <f t="shared" ca="1" si="3"/>
        <v>100004513.42746733</v>
      </c>
      <c r="K18" s="3"/>
      <c r="L18" s="3"/>
      <c r="M18" s="3"/>
      <c r="O18" s="6"/>
      <c r="P18" s="2"/>
      <c r="Q18" s="2"/>
      <c r="R18" s="5"/>
      <c r="S18" s="4"/>
      <c r="T18" s="7"/>
      <c r="U18" s="3"/>
    </row>
    <row r="19" spans="1:21" x14ac:dyDescent="0.25">
      <c r="A19" s="6">
        <v>44176</v>
      </c>
      <c r="B19" s="2">
        <f t="shared" si="6"/>
        <v>205</v>
      </c>
      <c r="C19" s="2">
        <f>SUM(B$4:B19)</f>
        <v>3195</v>
      </c>
      <c r="D19" s="5">
        <f t="shared" si="0"/>
        <v>5.52</v>
      </c>
      <c r="E19" s="4">
        <f t="shared" si="7"/>
        <v>0.51999999999999957</v>
      </c>
      <c r="F19" s="2">
        <v>100000552</v>
      </c>
      <c r="G19" s="3">
        <f t="shared" si="11"/>
        <v>2400</v>
      </c>
      <c r="H19" s="17">
        <f t="shared" ca="1" si="1"/>
        <v>100000826.26314026</v>
      </c>
      <c r="I19" s="17">
        <f t="shared" ca="1" si="2"/>
        <v>99997263.953805327</v>
      </c>
      <c r="J19" s="17">
        <f t="shared" ca="1" si="3"/>
        <v>100004388.57247519</v>
      </c>
      <c r="K19" s="3"/>
      <c r="L19" s="3"/>
      <c r="M19" s="3"/>
      <c r="O19" s="6"/>
      <c r="P19" s="2"/>
      <c r="Q19" s="2"/>
      <c r="R19" s="5"/>
      <c r="S19" s="4"/>
      <c r="T19" s="7"/>
      <c r="U19" s="3"/>
    </row>
    <row r="20" spans="1:21" x14ac:dyDescent="0.25">
      <c r="A20" s="6">
        <v>44441</v>
      </c>
      <c r="B20" s="2">
        <f t="shared" si="6"/>
        <v>265</v>
      </c>
      <c r="C20" s="2">
        <f>SUM(B$4:B20)</f>
        <v>3460</v>
      </c>
      <c r="D20" s="5">
        <f t="shared" si="0"/>
        <v>-6.12</v>
      </c>
      <c r="E20" s="4">
        <f t="shared" si="7"/>
        <v>-11.64</v>
      </c>
      <c r="F20" s="2">
        <v>99999388</v>
      </c>
      <c r="G20" s="3">
        <f t="shared" si="11"/>
        <v>2400</v>
      </c>
      <c r="H20" s="17">
        <f t="shared" ca="1" si="1"/>
        <v>100000653.63492636</v>
      </c>
      <c r="I20" s="17">
        <f t="shared" ca="1" si="2"/>
        <v>99997075.860576332</v>
      </c>
      <c r="J20" s="17">
        <f t="shared" ca="1" si="3"/>
        <v>100004231.4092764</v>
      </c>
      <c r="K20" s="3"/>
      <c r="L20" s="3"/>
      <c r="M20" s="3"/>
      <c r="O20" s="6"/>
      <c r="P20" s="2"/>
      <c r="Q20" s="2"/>
      <c r="R20" s="5"/>
      <c r="S20" s="4"/>
      <c r="T20" s="7"/>
      <c r="U20" s="3"/>
    </row>
    <row r="21" spans="1:21" x14ac:dyDescent="0.25">
      <c r="A21" s="6">
        <v>44447</v>
      </c>
      <c r="B21" s="2">
        <f t="shared" si="6"/>
        <v>6</v>
      </c>
      <c r="C21" s="2">
        <f>SUM(B$4:B21)</f>
        <v>3466</v>
      </c>
      <c r="D21" s="5">
        <f t="shared" si="0"/>
        <v>-5.99</v>
      </c>
      <c r="E21" s="4">
        <f t="shared" si="7"/>
        <v>0.12999999999999989</v>
      </c>
      <c r="F21" s="1">
        <v>99999401</v>
      </c>
      <c r="G21" s="3">
        <f t="shared" si="11"/>
        <v>2400</v>
      </c>
      <c r="H21" s="17">
        <f t="shared" ca="1" si="1"/>
        <v>100000649.72636303</v>
      </c>
      <c r="I21" s="17">
        <f t="shared" ca="1" si="2"/>
        <v>99997071.546981797</v>
      </c>
      <c r="J21" s="17">
        <f t="shared" ca="1" si="3"/>
        <v>100004227.90574427</v>
      </c>
      <c r="K21" s="3"/>
      <c r="L21" s="3"/>
      <c r="M21" s="3"/>
      <c r="O21" s="3"/>
      <c r="P21" s="2"/>
      <c r="Q21" s="2"/>
      <c r="R21" s="5"/>
      <c r="S21" s="4"/>
      <c r="T21" s="7"/>
      <c r="U21" s="3"/>
    </row>
    <row r="22" spans="1:21" x14ac:dyDescent="0.25">
      <c r="A22" s="6">
        <v>44659</v>
      </c>
      <c r="B22" s="2">
        <f t="shared" si="6"/>
        <v>212</v>
      </c>
      <c r="C22" s="2">
        <f>SUM(B$4:B22)</f>
        <v>3678</v>
      </c>
      <c r="D22" s="5">
        <f t="shared" si="0"/>
        <v>13</v>
      </c>
      <c r="E22" s="4">
        <f t="shared" si="7"/>
        <v>18.990000000000002</v>
      </c>
      <c r="F22" s="1">
        <v>100001300</v>
      </c>
      <c r="G22" s="3">
        <f t="shared" si="11"/>
        <v>2400</v>
      </c>
      <c r="H22" s="17">
        <f t="shared" ca="1" si="1"/>
        <v>100000511.62379192</v>
      </c>
      <c r="I22" s="17">
        <f t="shared" ca="1" si="2"/>
        <v>99996917.58741267</v>
      </c>
      <c r="J22" s="17">
        <f t="shared" ca="1" si="3"/>
        <v>100004105.66017117</v>
      </c>
      <c r="K22" s="3"/>
      <c r="L22" s="3"/>
      <c r="M22" s="3"/>
    </row>
    <row r="23" spans="1:21" x14ac:dyDescent="0.25">
      <c r="A23" s="6">
        <v>44868</v>
      </c>
      <c r="B23" s="2">
        <f t="shared" si="6"/>
        <v>209</v>
      </c>
      <c r="C23" s="2">
        <f>SUM(B$4:B23)</f>
        <v>3887</v>
      </c>
      <c r="D23" s="5">
        <f t="shared" ref="D23" si="21">(F23-100000000)/100000000*1000000</f>
        <v>6</v>
      </c>
      <c r="E23" s="4">
        <f t="shared" si="7"/>
        <v>-7</v>
      </c>
      <c r="F23" s="2">
        <v>100000600</v>
      </c>
      <c r="G23" s="3">
        <f t="shared" si="11"/>
        <v>2400</v>
      </c>
      <c r="H23" s="17">
        <f t="shared" ca="1" si="1"/>
        <v>100000375.47550246</v>
      </c>
      <c r="I23" s="17">
        <f t="shared" ca="1" si="2"/>
        <v>99996762.890542656</v>
      </c>
      <c r="J23" s="17">
        <f t="shared" ca="1" si="3"/>
        <v>100003988.06046227</v>
      </c>
    </row>
    <row r="24" spans="1:21" x14ac:dyDescent="0.25">
      <c r="A24" s="6">
        <v>45097</v>
      </c>
      <c r="B24" s="2">
        <f t="shared" si="6"/>
        <v>229</v>
      </c>
      <c r="C24" s="2">
        <f>SUM(B$4:B24)</f>
        <v>4116</v>
      </c>
      <c r="D24" s="5">
        <f t="shared" ref="D24" si="22">(F24-100000000)/100000000*1000000</f>
        <v>9</v>
      </c>
      <c r="E24" s="4">
        <f t="shared" si="7"/>
        <v>3</v>
      </c>
      <c r="F24" s="2">
        <v>100000900</v>
      </c>
      <c r="G24" s="3">
        <f t="shared" si="11"/>
        <v>2400</v>
      </c>
      <c r="H24" s="17">
        <f t="shared" ca="1" si="1"/>
        <v>100000226.29866856</v>
      </c>
      <c r="I24" s="17">
        <f t="shared" ca="1" si="2"/>
        <v>99996590.119016752</v>
      </c>
      <c r="J24" s="17">
        <f t="shared" ca="1" si="3"/>
        <v>100003862.47832038</v>
      </c>
    </row>
    <row r="25" spans="1:21" x14ac:dyDescent="0.25">
      <c r="A25" s="6">
        <v>45319</v>
      </c>
      <c r="B25" s="2">
        <f t="shared" ref="B25" si="23">A25-A24</f>
        <v>222</v>
      </c>
      <c r="C25" s="2">
        <f>SUM(B$4:B25)</f>
        <v>4338</v>
      </c>
      <c r="D25" s="5">
        <f t="shared" ref="D25" si="24">(F25-100000000)/100000000*1000000</f>
        <v>7</v>
      </c>
      <c r="E25" s="4">
        <f t="shared" ref="E25" si="25">D25-D24</f>
        <v>-2</v>
      </c>
      <c r="F25" s="2">
        <v>100000700</v>
      </c>
      <c r="G25" s="3">
        <f t="shared" si="11"/>
        <v>2400</v>
      </c>
      <c r="H25" s="17">
        <f t="shared" ca="1" si="1"/>
        <v>100000081.68182522</v>
      </c>
      <c r="I25" s="17">
        <f t="shared" ca="1" si="2"/>
        <v>99996419.424213916</v>
      </c>
      <c r="J25" s="17">
        <f t="shared" ca="1" si="3"/>
        <v>100003743.93943653</v>
      </c>
    </row>
    <row r="26" spans="1:21" x14ac:dyDescent="0.25">
      <c r="A26" s="6">
        <v>45572</v>
      </c>
      <c r="B26" s="2">
        <f t="shared" ref="B26" si="26">A26-A25</f>
        <v>253</v>
      </c>
      <c r="C26" s="2">
        <f>SUM(B$4:B26)</f>
        <v>4591</v>
      </c>
      <c r="D26" s="5">
        <f t="shared" ref="D26" si="27">(F26-100000000)/100000000*1000000</f>
        <v>11</v>
      </c>
      <c r="E26" s="4">
        <f t="shared" ref="E26" si="28">D26-D25</f>
        <v>4</v>
      </c>
      <c r="F26" s="2">
        <v>100001100</v>
      </c>
      <c r="G26" s="3">
        <f t="shared" si="11"/>
        <v>2400</v>
      </c>
      <c r="H26" s="17">
        <f t="shared" ca="1" si="1"/>
        <v>99999916.870738</v>
      </c>
      <c r="I26" s="17">
        <f t="shared" ca="1" si="2"/>
        <v>99996221.133679405</v>
      </c>
      <c r="J26" s="17">
        <f t="shared" ca="1" si="3"/>
        <v>100003612.60779659</v>
      </c>
    </row>
    <row r="27" spans="1:21" x14ac:dyDescent="0.25">
      <c r="A27" s="6">
        <v>45845</v>
      </c>
      <c r="B27" s="2">
        <f t="shared" ref="B27" si="29">A27-A26</f>
        <v>273</v>
      </c>
      <c r="C27" s="2">
        <f>SUM(B$4:B27)</f>
        <v>4864</v>
      </c>
      <c r="D27" s="5">
        <f t="shared" ref="D27" si="30">(F27-100000000)/100000000*1000000</f>
        <v>9</v>
      </c>
      <c r="E27" s="4">
        <f t="shared" ref="E27" si="31">D27-D26</f>
        <v>-2</v>
      </c>
      <c r="F27" s="2">
        <v>100000900</v>
      </c>
      <c r="G27" s="3">
        <f t="shared" si="11"/>
        <v>2400</v>
      </c>
      <c r="H27" s="17">
        <f t="shared" ca="1" si="1"/>
        <v>99999739.031106323</v>
      </c>
      <c r="I27" s="17">
        <f t="shared" ca="1" si="2"/>
        <v>99996002.794928864</v>
      </c>
      <c r="J27" s="17">
        <f t="shared" ca="1" si="3"/>
        <v>100003475.26728378</v>
      </c>
      <c r="L27" s="3"/>
    </row>
    <row r="28" spans="1:21" x14ac:dyDescent="0.25">
      <c r="A28" s="6">
        <v>46143</v>
      </c>
      <c r="B28" s="2">
        <f t="shared" ref="B28" si="32">A28-A27</f>
        <v>298</v>
      </c>
      <c r="C28" s="2">
        <f>SUM(B$4:B28)</f>
        <v>5162</v>
      </c>
      <c r="D28" s="5">
        <f t="shared" ref="D28" si="33">(F28-100000000)/100000000*1000000</f>
        <v>7</v>
      </c>
      <c r="E28" s="4">
        <f t="shared" ref="E28" si="34">D28-D27</f>
        <v>-2</v>
      </c>
      <c r="F28" s="2">
        <v>100000700</v>
      </c>
      <c r="G28" s="3">
        <f t="shared" si="11"/>
        <v>2400</v>
      </c>
      <c r="H28" s="17">
        <f t="shared" ca="1" si="1"/>
        <v>99999544.905794099</v>
      </c>
      <c r="I28" s="17">
        <f t="shared" ca="1" si="2"/>
        <v>99995759.447967425</v>
      </c>
      <c r="J28" s="17">
        <f t="shared" ca="1" si="3"/>
        <v>100003330.36362077</v>
      </c>
    </row>
  </sheetData>
  <mergeCells count="4">
    <mergeCell ref="V1:X1"/>
    <mergeCell ref="H1:J1"/>
    <mergeCell ref="L1:M1"/>
    <mergeCell ref="L8:M8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l_x002e_Date xmlns="e9030caa-ab7d-4043-a723-846408bcfa62" xsi:nil="true"/>
    <CalProvider xmlns="e9030caa-ab7d-4043-a723-846408bcfa62" xsi:nil="true"/>
    <Adjusted_x003f_ xmlns="e9030caa-ab7d-4043-a723-846408bcfa62">false</Adjusted_x003f_>
    <ETEs xmlns="e9030caa-ab7d-4043-a723-846408bcfa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D86401-A93D-4C1F-9CE6-D0D9FC544161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2.xml><?xml version="1.0" encoding="utf-8"?>
<ds:datastoreItem xmlns:ds="http://schemas.openxmlformats.org/officeDocument/2006/customXml" ds:itemID="{A4C7725B-A53F-4B31-B3D6-D9E4DC2D61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8AEB9-9702-4EF0-AAFC-009EB5B3A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100M Ohm</vt:lpstr>
      <vt:lpstr>df_PN010016</vt:lpstr>
      <vt:lpstr>'100M Ohm'!df_PN010017</vt:lpstr>
      <vt:lpstr>n_PN010016</vt:lpstr>
      <vt:lpstr>n_PN010017</vt:lpstr>
      <vt:lpstr>SSx_PN010016</vt:lpstr>
      <vt:lpstr>'100M Ohm'!SSx_PN010017</vt:lpstr>
      <vt:lpstr>Syx_PN010016</vt:lpstr>
      <vt:lpstr>'100M Ohm'!Syx_PN010017</vt:lpstr>
      <vt:lpstr>XBar_PN010016</vt:lpstr>
      <vt:lpstr>'100M Ohm'!XBar_PN010017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2023-11-18T12:15:50Z</dcterms:created>
  <dcterms:modified xsi:type="dcterms:W3CDTF">2026-09-10T12:45:54Z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