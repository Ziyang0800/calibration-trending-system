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5D2AB92D-0C42-468D-AA46-8897D243AB40}" xr6:coauthVersionLast="47" xr6:coauthVersionMax="47" xr10:uidLastSave="{00000000-0000-0000-0000-000000000000}"/>
  <bookViews>
    <workbookView xWindow="-110" yWindow="-110" windowWidth="38620" windowHeight="21100" xr2:uid="{86C19927-0E14-4892-BE74-7C0F56B2A627}"/>
  </bookViews>
  <sheets>
    <sheet name="10M Ohm" sheetId="1" r:id="rId1"/>
  </sheets>
  <externalReferences>
    <externalReference r:id="rId2"/>
  </externalReferences>
  <definedNames>
    <definedName name="df_PN010014">'10M Ohm'!$M$10</definedName>
    <definedName name="df_PN010015" localSheetId="0">'10M Ohm'!$M$3</definedName>
    <definedName name="Known_xs_PN010014">OFFSET('10M Ohm'!$Q$3,,,COUNTA('10M Ohm'!$Q:$Q)-3)</definedName>
    <definedName name="Known_xs_PN010015">OFFSET('10M Ohm'!$C$3,,,COUNTA('10M Ohm'!$C:$C)-3)</definedName>
    <definedName name="Known_ys_PN010014">OFFSET('10M Ohm'!$T$3,,,COUNTA('10M Ohm'!$T:$T)-2)</definedName>
    <definedName name="Known_ys_PN010015">OFFSET('10M Ohm'!$F$3,,,COUNTA('10M Ohm'!$F:$F)-2)</definedName>
    <definedName name="n_PN010014">'10M Ohm'!$M$9</definedName>
    <definedName name="n_PN010015">'10M Ohm'!$M$2</definedName>
    <definedName name="PI_L_PN010022">OFFSET('[1]1 Ohm'!$W$3,,,COUNTA('[1]1 Ohm'!$W:$W)-1)</definedName>
    <definedName name="PI_L_PN010034">OFFSET(#REF!,,,COUNTA(#REF!)-1)</definedName>
    <definedName name="PI_L_PN010069">OFFSET(#REF!,,,COUNTA(#REF!)-1)</definedName>
    <definedName name="PI_U_PN010022">OFFSET('[1]1 Ohm'!$X$3,,,COUNTA('[1]1 Ohm'!$X:$X)-1)</definedName>
    <definedName name="PI_U_PN010034">OFFSET(#REF!,,,COUNTA(#REF!)-1)</definedName>
    <definedName name="PI_U_PN010069">OFFSET(#REF!,,,COUNTA(#REF!)-1)</definedName>
    <definedName name="Predicted_PN010001">OFFSET('[1]1 Ohm'!$H$3,,,COUNTA('[1]1 Ohm'!$H:$H)-2)</definedName>
    <definedName name="Predicted_PN010022">OFFSET('[1]1 Ohm'!$V$3,,,COUNTA('[1]1 Ohm'!$V:$V)-2)</definedName>
    <definedName name="Predicted_PN010034">OFFSET(#REF!,,,COUNTA(#REF!)-2)</definedName>
    <definedName name="Predicted_PN010069">OFFSET(#REF!,,,COUNTA(#REF!)-2)</definedName>
    <definedName name="SSx_PN010014">'10M Ohm'!$M$13</definedName>
    <definedName name="SSx_PN010015" localSheetId="0">'10M Ohm'!$M$6</definedName>
    <definedName name="Syx_PN010014">'10M Ohm'!$M$12</definedName>
    <definedName name="Syx_PN010015" localSheetId="0">'10M Ohm'!$M$5</definedName>
    <definedName name="XBar_PN010014">'10M Ohm'!$M$11</definedName>
    <definedName name="XBar_PN010015" localSheetId="0">'10M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S17" i="1" s="1"/>
  <c r="Q17" i="1"/>
  <c r="V17" i="1" s="1"/>
  <c r="P17" i="1"/>
  <c r="G23" i="1"/>
  <c r="D23" i="1"/>
  <c r="E23" i="1" s="1"/>
  <c r="B23" i="1"/>
  <c r="C23" i="1" s="1"/>
  <c r="H23" i="1" s="1"/>
  <c r="R16" i="1"/>
  <c r="S16" i="1" s="1"/>
  <c r="P16" i="1"/>
  <c r="Q16" i="1" s="1"/>
  <c r="V16" i="1" s="1"/>
  <c r="R15" i="1"/>
  <c r="S15" i="1" s="1"/>
  <c r="P15" i="1"/>
  <c r="Q15" i="1" s="1"/>
  <c r="G22" i="1"/>
  <c r="D22" i="1"/>
  <c r="E22" i="1" s="1"/>
  <c r="C22" i="1"/>
  <c r="B22" i="1"/>
  <c r="G21" i="1"/>
  <c r="D21" i="1"/>
  <c r="E21" i="1" s="1"/>
  <c r="B21" i="1"/>
  <c r="C21" i="1" s="1"/>
  <c r="R14" i="1"/>
  <c r="P14" i="1"/>
  <c r="R13" i="1"/>
  <c r="S13" i="1" s="1"/>
  <c r="P13" i="1"/>
  <c r="R12" i="1"/>
  <c r="S12" i="1" s="1"/>
  <c r="P12" i="1"/>
  <c r="Q13" i="1" s="1"/>
  <c r="G20" i="1"/>
  <c r="D20" i="1"/>
  <c r="B20" i="1"/>
  <c r="C20" i="1" s="1"/>
  <c r="G19" i="1"/>
  <c r="D19" i="1"/>
  <c r="E19" i="1" s="1"/>
  <c r="B19" i="1"/>
  <c r="C19" i="1" s="1"/>
  <c r="H22" i="1" l="1"/>
  <c r="H21" i="1"/>
  <c r="V15" i="1"/>
  <c r="H20" i="1"/>
  <c r="H19" i="1"/>
  <c r="S14" i="1"/>
  <c r="V13" i="1"/>
  <c r="Q12" i="1"/>
  <c r="V12" i="1" s="1"/>
  <c r="Q14" i="1"/>
  <c r="V14" i="1" s="1"/>
  <c r="E20" i="1"/>
  <c r="V4" i="1" l="1"/>
  <c r="V5" i="1"/>
  <c r="V6" i="1"/>
  <c r="V7" i="1"/>
  <c r="V8" i="1"/>
  <c r="V9" i="1"/>
  <c r="V10" i="1"/>
  <c r="V11" i="1"/>
  <c r="M13" i="1"/>
  <c r="M12" i="1"/>
  <c r="M11" i="1"/>
  <c r="M9" i="1"/>
  <c r="M10" i="1" s="1"/>
  <c r="V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M6" i="1"/>
  <c r="M5" i="1"/>
  <c r="M4" i="1"/>
  <c r="M2" i="1"/>
  <c r="M3" i="1" s="1"/>
  <c r="H3" i="1"/>
  <c r="D3" i="1"/>
  <c r="R3" i="1"/>
  <c r="B4" i="1"/>
  <c r="C4" i="1" s="1"/>
  <c r="D4" i="1"/>
  <c r="E4" i="1"/>
  <c r="P4" i="1"/>
  <c r="Q4" i="1"/>
  <c r="R4" i="1"/>
  <c r="S4" i="1" s="1"/>
  <c r="D5" i="1"/>
  <c r="E5" i="1"/>
  <c r="R5" i="1"/>
  <c r="S5" i="1" s="1"/>
  <c r="B6" i="1"/>
  <c r="C6" i="1" s="1"/>
  <c r="D6" i="1"/>
  <c r="E6" i="1"/>
  <c r="P6" i="1"/>
  <c r="Q7" i="1" s="1"/>
  <c r="Q6" i="1"/>
  <c r="R6" i="1"/>
  <c r="S7" i="1" s="1"/>
  <c r="B7" i="1"/>
  <c r="C7" i="1"/>
  <c r="D7" i="1"/>
  <c r="E7" i="1" s="1"/>
  <c r="P7" i="1"/>
  <c r="R7" i="1"/>
  <c r="B8" i="1"/>
  <c r="C17" i="1" s="1"/>
  <c r="C8" i="1"/>
  <c r="D8" i="1"/>
  <c r="E9" i="1" s="1"/>
  <c r="P8" i="1"/>
  <c r="R8" i="1"/>
  <c r="S8" i="1" s="1"/>
  <c r="B9" i="1"/>
  <c r="D9" i="1"/>
  <c r="P9" i="1"/>
  <c r="Q9" i="1"/>
  <c r="R9" i="1"/>
  <c r="S10" i="1" s="1"/>
  <c r="B10" i="1"/>
  <c r="D10" i="1"/>
  <c r="E10" i="1" s="1"/>
  <c r="P10" i="1"/>
  <c r="R10" i="1"/>
  <c r="B11" i="1"/>
  <c r="C11" i="1"/>
  <c r="D11" i="1"/>
  <c r="E12" i="1" s="1"/>
  <c r="P11" i="1"/>
  <c r="R11" i="1"/>
  <c r="S11" i="1" s="1"/>
  <c r="B12" i="1"/>
  <c r="D12" i="1"/>
  <c r="B13" i="1"/>
  <c r="C13" i="1" s="1"/>
  <c r="D13" i="1"/>
  <c r="E13" i="1" s="1"/>
  <c r="B14" i="1"/>
  <c r="D14" i="1"/>
  <c r="E14" i="1" s="1"/>
  <c r="G14" i="1"/>
  <c r="B15" i="1"/>
  <c r="D15" i="1"/>
  <c r="E16" i="1" s="1"/>
  <c r="E15" i="1"/>
  <c r="G15" i="1"/>
  <c r="B16" i="1"/>
  <c r="C18" i="1" s="1"/>
  <c r="D16" i="1"/>
  <c r="G16" i="1"/>
  <c r="B17" i="1"/>
  <c r="D17" i="1"/>
  <c r="E17" i="1" s="1"/>
  <c r="G17" i="1"/>
  <c r="B18" i="1"/>
  <c r="D18" i="1"/>
  <c r="E18" i="1" s="1"/>
  <c r="G18" i="1"/>
  <c r="X17" i="1" l="1" a="1"/>
  <c r="X17" i="1" s="1"/>
  <c r="W17" i="1"/>
  <c r="J23" i="1"/>
  <c r="I23" i="1"/>
  <c r="X16" i="1" a="1"/>
  <c r="X16" i="1" s="1"/>
  <c r="W16" i="1"/>
  <c r="W15" i="1"/>
  <c r="X15" i="1" a="1"/>
  <c r="X15" i="1" s="1"/>
  <c r="J22" i="1"/>
  <c r="I22" i="1"/>
  <c r="J21" i="1"/>
  <c r="I21" i="1"/>
  <c r="W12" i="1"/>
  <c r="X12" i="1" a="1"/>
  <c r="X12" i="1" s="1"/>
  <c r="X13" i="1" a="1"/>
  <c r="X13" i="1" s="1"/>
  <c r="X14" i="1" a="1"/>
  <c r="X14" i="1" s="1"/>
  <c r="W13" i="1"/>
  <c r="W14" i="1"/>
  <c r="I20" i="1"/>
  <c r="J20" i="1"/>
  <c r="J19" i="1"/>
  <c r="I19" i="1"/>
  <c r="X6" i="1" a="1"/>
  <c r="X6" i="1" s="1"/>
  <c r="X9" i="1" a="1"/>
  <c r="X9" i="1" s="1"/>
  <c r="W10" i="1"/>
  <c r="W8" i="1"/>
  <c r="W11" i="1"/>
  <c r="W7" i="1"/>
  <c r="W5" i="1"/>
  <c r="W4" i="1"/>
  <c r="W9" i="1"/>
  <c r="W6" i="1"/>
  <c r="X11" i="1" a="1"/>
  <c r="X11" i="1" s="1"/>
  <c r="X8" i="1" a="1"/>
  <c r="X8" i="1" s="1"/>
  <c r="X5" i="1" a="1"/>
  <c r="X5" i="1" s="1"/>
  <c r="X10" i="1" a="1"/>
  <c r="X10" i="1" s="1"/>
  <c r="X7" i="1" a="1"/>
  <c r="X7" i="1" s="1"/>
  <c r="X4" i="1" a="1"/>
  <c r="X4" i="1" s="1"/>
  <c r="W3" i="1"/>
  <c r="X3" i="1" a="1"/>
  <c r="X3" i="1" s="1"/>
  <c r="I17" i="1"/>
  <c r="I5" i="1"/>
  <c r="I8" i="1"/>
  <c r="I7" i="1"/>
  <c r="I11" i="1"/>
  <c r="I6" i="1"/>
  <c r="I9" i="1"/>
  <c r="I18" i="1"/>
  <c r="I16" i="1"/>
  <c r="I4" i="1"/>
  <c r="I15" i="1"/>
  <c r="I13" i="1"/>
  <c r="I12" i="1"/>
  <c r="J15" i="1"/>
  <c r="J11" i="1"/>
  <c r="J7" i="1"/>
  <c r="J18" i="1"/>
  <c r="J14" i="1"/>
  <c r="J10" i="1"/>
  <c r="J6" i="1"/>
  <c r="I14" i="1"/>
  <c r="I10" i="1"/>
  <c r="J17" i="1"/>
  <c r="J13" i="1"/>
  <c r="J9" i="1"/>
  <c r="J5" i="1"/>
  <c r="J16" i="1"/>
  <c r="J12" i="1"/>
  <c r="J8" i="1"/>
  <c r="J4" i="1"/>
  <c r="J3" i="1"/>
  <c r="I3" i="1"/>
  <c r="Q8" i="1"/>
  <c r="C14" i="1"/>
  <c r="Q11" i="1"/>
  <c r="C10" i="1"/>
  <c r="C16" i="1"/>
  <c r="E11" i="1"/>
  <c r="S9" i="1"/>
  <c r="E8" i="1"/>
  <c r="S6" i="1"/>
  <c r="C15" i="1"/>
  <c r="C12" i="1"/>
  <c r="Q10" i="1"/>
  <c r="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tc={99CB1384-0FCE-4B22-8F4B-4D80537AD654}</author>
  </authors>
  <commentList>
    <comment ref="F6" authorId="0" shapeId="0" xr:uid="{99CB1384-0FCE-4B22-8F4B-4D80537AD6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data point observed to be outside the regression limits was measured years ago before the current analysis was implemented.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<sst xmlns="http://schemas.openxmlformats.org/spreadsheetml/2006/main" count="38" uniqueCount="21">
  <si>
    <t>742A-10M</t>
  </si>
  <si>
    <t>PN010015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</si>
  <si>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</si>
  <si>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PN010015</t>
    </r>
  </si>
  <si>
    <t>PN010014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</si>
  <si>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</si>
  <si>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</si>
  <si>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</si>
  <si>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</si>
  <si>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</si>
  <si>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</si>
  <si>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</si>
  <si>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</si>
  <si>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</si>
  <si>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</si>
  <si>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</si>
  <si>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</si>
  <si>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</si>
  <si>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</si>
  <si>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PN010014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</si>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</sst>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165" fontId="1" fillId="2" borderId="0" xfId="0" applyNumberFormat="1" applyFont="1" applyFill="1" applyAlignment="1">
      <alignment horizontal="center" vertical="center"/>
    </xf>
    <xf numFmtId="15" fontId="1" fillId="9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165" fontId="1" fillId="9" borderId="0" xfId="0" applyNumberFormat="1" applyFont="1" applyFill="1" applyAlignment="1">
      <alignment horizontal="center" vertical="center"/>
    </xf>
    <xf numFmtId="11" fontId="1" fillId="9" borderId="0" xfId="0" applyNumberFormat="1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PN010015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'10M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'10M Ohm'!$C$3:$C$23</c:f>
              <c:numCache>
                <c:formatCode>0</c:formatCode>
                <c:ptCount val="21"/>
                <c:pt idx="0">
                  <c:v>0</c:v>
                </c:pt>
                <c:pt idx="1">
                  <c:v>407</c:v>
                </c:pt>
                <c:pt idx="2">
                  <c:v>0</c:v>
                </c:pt>
                <c:pt idx="3">
                  <c:v>197</c:v>
                </c:pt>
                <c:pt idx="4">
                  <c:v>425</c:v>
                </c:pt>
                <c:pt idx="5">
                  <c:v>604</c:v>
                </c:pt>
                <c:pt idx="6">
                  <c:v>826</c:v>
                </c:pt>
                <c:pt idx="7">
                  <c:v>1077</c:v>
                </c:pt>
                <c:pt idx="8">
                  <c:v>1588</c:v>
                </c:pt>
                <c:pt idx="9">
                  <c:v>1793</c:v>
                </c:pt>
                <c:pt idx="10">
                  <c:v>1996</c:v>
                </c:pt>
                <c:pt idx="11">
                  <c:v>2203</c:v>
                </c:pt>
                <c:pt idx="12">
                  <c:v>2575</c:v>
                </c:pt>
                <c:pt idx="13">
                  <c:v>2928</c:v>
                </c:pt>
                <c:pt idx="14">
                  <c:v>3155</c:v>
                </c:pt>
                <c:pt idx="15">
                  <c:v>3368</c:v>
                </c:pt>
                <c:pt idx="16">
                  <c:v>3573</c:v>
                </c:pt>
                <c:pt idx="17">
                  <c:v>3813</c:v>
                </c:pt>
                <c:pt idx="18">
                  <c:v>4124</c:v>
                </c:pt>
                <c:pt idx="19">
                  <c:v>4331</c:v>
                </c:pt>
                <c:pt idx="20">
                  <c:v>4613</c:v>
                </c:pt>
              </c:numCache>
            </c:numRef>
          </c:xVal>
          <c:yVal>
            <c:numRef>
              <c:f>'10M Ohm'!$F$3:$F$23</c:f>
              <c:numCache>
                <c:formatCode>0.0</c:formatCode>
                <c:ptCount val="21"/>
                <c:pt idx="0">
                  <c:v>10000071</c:v>
                </c:pt>
                <c:pt idx="1">
                  <c:v>10000165</c:v>
                </c:pt>
                <c:pt idx="2">
                  <c:v>10000232</c:v>
                </c:pt>
                <c:pt idx="3">
                  <c:v>10000277</c:v>
                </c:pt>
                <c:pt idx="4">
                  <c:v>10000188</c:v>
                </c:pt>
                <c:pt idx="5">
                  <c:v>10000106.800000001</c:v>
                </c:pt>
                <c:pt idx="6">
                  <c:v>10000124</c:v>
                </c:pt>
                <c:pt idx="7">
                  <c:v>10000146</c:v>
                </c:pt>
                <c:pt idx="8">
                  <c:v>10000122</c:v>
                </c:pt>
                <c:pt idx="9">
                  <c:v>10000147</c:v>
                </c:pt>
                <c:pt idx="10">
                  <c:v>10000142</c:v>
                </c:pt>
                <c:pt idx="11">
                  <c:v>10000149.5</c:v>
                </c:pt>
                <c:pt idx="12">
                  <c:v>10000141</c:v>
                </c:pt>
                <c:pt idx="13">
                  <c:v>10000152.800000001</c:v>
                </c:pt>
                <c:pt idx="14">
                  <c:v>10000116</c:v>
                </c:pt>
                <c:pt idx="15">
                  <c:v>10000118</c:v>
                </c:pt>
                <c:pt idx="16">
                  <c:v>10000145</c:v>
                </c:pt>
                <c:pt idx="17">
                  <c:v>10000139</c:v>
                </c:pt>
                <c:pt idx="18">
                  <c:v>10000113</c:v>
                </c:pt>
                <c:pt idx="19">
                  <c:v>10000118</c:v>
                </c:pt>
                <c:pt idx="20">
                  <c:v>10000148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C-43B9-8EA8-A2EB318A3333}"/>
            </c:ext>
          </c:extLst>
        </c:ser>
        <c:ser>
          <c:idx val="1"/>
          <c:order val="1"/>
          <c:tx>
            <c:strRef>
              <c:f>'10M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'10M Ohm'!$C$3:$C$23</c:f>
              <c:numCache>
                <c:formatCode>0</c:formatCode>
                <c:ptCount val="21"/>
                <c:pt idx="0">
                  <c:v>0</c:v>
                </c:pt>
                <c:pt idx="1">
                  <c:v>407</c:v>
                </c:pt>
                <c:pt idx="2">
                  <c:v>0</c:v>
                </c:pt>
                <c:pt idx="3">
                  <c:v>197</c:v>
                </c:pt>
                <c:pt idx="4">
                  <c:v>425</c:v>
                </c:pt>
                <c:pt idx="5">
                  <c:v>604</c:v>
                </c:pt>
                <c:pt idx="6">
                  <c:v>826</c:v>
                </c:pt>
                <c:pt idx="7">
                  <c:v>1077</c:v>
                </c:pt>
                <c:pt idx="8">
                  <c:v>1588</c:v>
                </c:pt>
                <c:pt idx="9">
                  <c:v>1793</c:v>
                </c:pt>
                <c:pt idx="10">
                  <c:v>1996</c:v>
                </c:pt>
                <c:pt idx="11">
                  <c:v>2203</c:v>
                </c:pt>
                <c:pt idx="12">
                  <c:v>2575</c:v>
                </c:pt>
                <c:pt idx="13">
                  <c:v>2928</c:v>
                </c:pt>
                <c:pt idx="14">
                  <c:v>3155</c:v>
                </c:pt>
                <c:pt idx="15">
                  <c:v>3368</c:v>
                </c:pt>
                <c:pt idx="16">
                  <c:v>3573</c:v>
                </c:pt>
                <c:pt idx="17">
                  <c:v>3813</c:v>
                </c:pt>
                <c:pt idx="18">
                  <c:v>4124</c:v>
                </c:pt>
                <c:pt idx="19">
                  <c:v>4331</c:v>
                </c:pt>
                <c:pt idx="20">
                  <c:v>4613</c:v>
                </c:pt>
              </c:numCache>
            </c:numRef>
          </c:xVal>
          <c:yVal>
            <c:numRef>
              <c:f>'10M Ohm'!$H$3:$H$23</c:f>
              <c:numCache>
                <c:formatCode>0.0</c:formatCode>
                <c:ptCount val="21"/>
                <c:pt idx="0">
                  <c:v>10000168.762634546</c:v>
                </c:pt>
                <c:pt idx="1">
                  <c:v>10000163.937553223</c:v>
                </c:pt>
                <c:pt idx="2">
                  <c:v>10000168.762634546</c:v>
                </c:pt>
                <c:pt idx="3">
                  <c:v>10000166.427152922</c:v>
                </c:pt>
                <c:pt idx="4">
                  <c:v>10000163.724158963</c:v>
                </c:pt>
                <c:pt idx="5">
                  <c:v>10000161.6020716</c:v>
                </c:pt>
                <c:pt idx="6">
                  <c:v>10000158.97020906</c:v>
                </c:pt>
                <c:pt idx="7">
                  <c:v>10000155.994544657</c:v>
                </c:pt>
                <c:pt idx="8">
                  <c:v>10000149.936518721</c:v>
                </c:pt>
                <c:pt idx="9">
                  <c:v>10000147.506195204</c:v>
                </c:pt>
                <c:pt idx="10">
                  <c:v>10000145.099582162</c:v>
                </c:pt>
                <c:pt idx="11">
                  <c:v>10000142.645548172</c:v>
                </c:pt>
                <c:pt idx="12">
                  <c:v>10000138.235400133</c:v>
                </c:pt>
                <c:pt idx="13">
                  <c:v>10000134.050501591</c:v>
                </c:pt>
                <c:pt idx="14">
                  <c:v>10000131.359362867</c:v>
                </c:pt>
                <c:pt idx="15">
                  <c:v>10000128.834197458</c:v>
                </c:pt>
                <c:pt idx="16">
                  <c:v>10000126.403873941</c:v>
                </c:pt>
                <c:pt idx="17">
                  <c:v>10000123.558617141</c:v>
                </c:pt>
                <c:pt idx="18">
                  <c:v>10000119.871638538</c:v>
                </c:pt>
                <c:pt idx="19">
                  <c:v>10000117.417604549</c:v>
                </c:pt>
                <c:pt idx="20">
                  <c:v>10000114.07442781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2C-43B9-8EA8-A2EB318A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'10M Ohm'!$C$3:$C$23</c:f>
              <c:numCache>
                <c:formatCode>0</c:formatCode>
                <c:ptCount val="21"/>
                <c:pt idx="0">
                  <c:v>0</c:v>
                </c:pt>
                <c:pt idx="1">
                  <c:v>407</c:v>
                </c:pt>
                <c:pt idx="2">
                  <c:v>0</c:v>
                </c:pt>
                <c:pt idx="3">
                  <c:v>197</c:v>
                </c:pt>
                <c:pt idx="4">
                  <c:v>425</c:v>
                </c:pt>
                <c:pt idx="5">
                  <c:v>604</c:v>
                </c:pt>
                <c:pt idx="6">
                  <c:v>826</c:v>
                </c:pt>
                <c:pt idx="7">
                  <c:v>1077</c:v>
                </c:pt>
                <c:pt idx="8">
                  <c:v>1588</c:v>
                </c:pt>
                <c:pt idx="9">
                  <c:v>1793</c:v>
                </c:pt>
                <c:pt idx="10">
                  <c:v>1996</c:v>
                </c:pt>
                <c:pt idx="11">
                  <c:v>2203</c:v>
                </c:pt>
                <c:pt idx="12">
                  <c:v>2575</c:v>
                </c:pt>
                <c:pt idx="13">
                  <c:v>2928</c:v>
                </c:pt>
                <c:pt idx="14">
                  <c:v>3155</c:v>
                </c:pt>
                <c:pt idx="15">
                  <c:v>3368</c:v>
                </c:pt>
                <c:pt idx="16">
                  <c:v>3573</c:v>
                </c:pt>
                <c:pt idx="17">
                  <c:v>3813</c:v>
                </c:pt>
                <c:pt idx="18">
                  <c:v>4124</c:v>
                </c:pt>
                <c:pt idx="19">
                  <c:v>4331</c:v>
                </c:pt>
                <c:pt idx="20">
                  <c:v>4613</c:v>
                </c:pt>
              </c:numCache>
            </c:numRef>
          </c:xVal>
          <c:yVal>
            <c:numRef>
              <c:f>'10M Ohm'!$I$3:$I$23</c:f>
              <c:numCache>
                <c:formatCode>0.0</c:formatCode>
                <c:ptCount val="21"/>
                <c:pt idx="0">
                  <c:v>10000072.753759259</c:v>
                </c:pt>
                <c:pt idx="1">
                  <c:v>10000069.404095083</c:v>
                </c:pt>
                <c:pt idx="2">
                  <c:v>10000072.753759259</c:v>
                </c:pt>
                <c:pt idx="3">
                  <c:v>10000071.172523839</c:v>
                </c:pt>
                <c:pt idx="4">
                  <c:v>10000069.248474376</c:v>
                </c:pt>
                <c:pt idx="5">
                  <c:v>10000067.665705169</c:v>
                </c:pt>
                <c:pt idx="6">
                  <c:v>10000065.612673931</c:v>
                </c:pt>
                <c:pt idx="7">
                  <c:v>10000063.16919977</c:v>
                </c:pt>
                <c:pt idx="8">
                  <c:v>10000057.785232186</c:v>
                </c:pt>
                <c:pt idx="9">
                  <c:v>10000055.468817703</c:v>
                </c:pt>
                <c:pt idx="10">
                  <c:v>10000053.086055461</c:v>
                </c:pt>
                <c:pt idx="11">
                  <c:v>10000050.565127192</c:v>
                </c:pt>
                <c:pt idx="12">
                  <c:v>10000045.804083278</c:v>
                </c:pt>
                <c:pt idx="13">
                  <c:v>10000041.014920518</c:v>
                </c:pt>
                <c:pt idx="14">
                  <c:v>10000037.797960976</c:v>
                </c:pt>
                <c:pt idx="15">
                  <c:v>10000034.683556048</c:v>
                </c:pt>
                <c:pt idx="16">
                  <c:v>10000031.600130927</c:v>
                </c:pt>
                <c:pt idx="17">
                  <c:v>10000027.885447877</c:v>
                </c:pt>
                <c:pt idx="18">
                  <c:v>10000022.908472855</c:v>
                </c:pt>
                <c:pt idx="19">
                  <c:v>10000019.496871028</c:v>
                </c:pt>
                <c:pt idx="20">
                  <c:v>10000014.72664986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2C-43B9-8EA8-A2EB318A3333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'10M Ohm'!$C$3:$C$23</c:f>
              <c:numCache>
                <c:formatCode>0</c:formatCode>
                <c:ptCount val="21"/>
                <c:pt idx="0">
                  <c:v>0</c:v>
                </c:pt>
                <c:pt idx="1">
                  <c:v>407</c:v>
                </c:pt>
                <c:pt idx="2">
                  <c:v>0</c:v>
                </c:pt>
                <c:pt idx="3">
                  <c:v>197</c:v>
                </c:pt>
                <c:pt idx="4">
                  <c:v>425</c:v>
                </c:pt>
                <c:pt idx="5">
                  <c:v>604</c:v>
                </c:pt>
                <c:pt idx="6">
                  <c:v>826</c:v>
                </c:pt>
                <c:pt idx="7">
                  <c:v>1077</c:v>
                </c:pt>
                <c:pt idx="8">
                  <c:v>1588</c:v>
                </c:pt>
                <c:pt idx="9">
                  <c:v>1793</c:v>
                </c:pt>
                <c:pt idx="10">
                  <c:v>1996</c:v>
                </c:pt>
                <c:pt idx="11">
                  <c:v>2203</c:v>
                </c:pt>
                <c:pt idx="12">
                  <c:v>2575</c:v>
                </c:pt>
                <c:pt idx="13">
                  <c:v>2928</c:v>
                </c:pt>
                <c:pt idx="14">
                  <c:v>3155</c:v>
                </c:pt>
                <c:pt idx="15">
                  <c:v>3368</c:v>
                </c:pt>
                <c:pt idx="16">
                  <c:v>3573</c:v>
                </c:pt>
                <c:pt idx="17">
                  <c:v>3813</c:v>
                </c:pt>
                <c:pt idx="18">
                  <c:v>4124</c:v>
                </c:pt>
                <c:pt idx="19">
                  <c:v>4331</c:v>
                </c:pt>
                <c:pt idx="20">
                  <c:v>4613</c:v>
                </c:pt>
              </c:numCache>
            </c:numRef>
          </c:xVal>
          <c:yVal>
            <c:numRef>
              <c:f>'10M Ohm'!$J$3:$J$23</c:f>
              <c:numCache>
                <c:formatCode>0.0</c:formatCode>
                <c:ptCount val="21"/>
                <c:pt idx="0">
                  <c:v>10000264.771509832</c:v>
                </c:pt>
                <c:pt idx="1">
                  <c:v>10000258.471011363</c:v>
                </c:pt>
                <c:pt idx="2">
                  <c:v>10000264.771509832</c:v>
                </c:pt>
                <c:pt idx="3">
                  <c:v>10000261.681782005</c:v>
                </c:pt>
                <c:pt idx="4">
                  <c:v>10000258.19984355</c:v>
                </c:pt>
                <c:pt idx="5">
                  <c:v>10000255.538438031</c:v>
                </c:pt>
                <c:pt idx="6">
                  <c:v>10000252.32774419</c:v>
                </c:pt>
                <c:pt idx="7">
                  <c:v>10000248.819889544</c:v>
                </c:pt>
                <c:pt idx="8">
                  <c:v>10000242.087805256</c:v>
                </c:pt>
                <c:pt idx="9">
                  <c:v>10000239.543572705</c:v>
                </c:pt>
                <c:pt idx="10">
                  <c:v>10000237.113108862</c:v>
                </c:pt>
                <c:pt idx="11">
                  <c:v>10000234.725969153</c:v>
                </c:pt>
                <c:pt idx="12">
                  <c:v>10000230.666716987</c:v>
                </c:pt>
                <c:pt idx="13">
                  <c:v>10000227.086082663</c:v>
                </c:pt>
                <c:pt idx="14">
                  <c:v>10000224.920764757</c:v>
                </c:pt>
                <c:pt idx="15">
                  <c:v>10000222.984838868</c:v>
                </c:pt>
                <c:pt idx="16">
                  <c:v>10000221.207616955</c:v>
                </c:pt>
                <c:pt idx="17">
                  <c:v>10000219.231786406</c:v>
                </c:pt>
                <c:pt idx="18">
                  <c:v>10000216.834804222</c:v>
                </c:pt>
                <c:pt idx="19">
                  <c:v>10000215.33833807</c:v>
                </c:pt>
                <c:pt idx="20">
                  <c:v>10000213.422205759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2C-43B9-8EA8-A2EB318A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PN010014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'10M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'10M Ohm'!$Q$3:$Q$17</c:f>
              <c:numCache>
                <c:formatCode>0</c:formatCode>
                <c:ptCount val="15"/>
                <c:pt idx="0">
                  <c:v>0</c:v>
                </c:pt>
                <c:pt idx="1">
                  <c:v>455</c:v>
                </c:pt>
                <c:pt idx="2">
                  <c:v>0</c:v>
                </c:pt>
                <c:pt idx="3">
                  <c:v>223</c:v>
                </c:pt>
                <c:pt idx="4">
                  <c:v>397</c:v>
                </c:pt>
                <c:pt idx="5">
                  <c:v>540</c:v>
                </c:pt>
                <c:pt idx="6">
                  <c:v>884</c:v>
                </c:pt>
                <c:pt idx="7">
                  <c:v>1149</c:v>
                </c:pt>
                <c:pt idx="8">
                  <c:v>1367</c:v>
                </c:pt>
                <c:pt idx="9">
                  <c:v>1576</c:v>
                </c:pt>
                <c:pt idx="10">
                  <c:v>1805</c:v>
                </c:pt>
                <c:pt idx="11">
                  <c:v>2023</c:v>
                </c:pt>
                <c:pt idx="12">
                  <c:v>2280</c:v>
                </c:pt>
                <c:pt idx="13">
                  <c:v>2553</c:v>
                </c:pt>
                <c:pt idx="14">
                  <c:v>2848</c:v>
                </c:pt>
              </c:numCache>
            </c:numRef>
          </c:xVal>
          <c:yVal>
            <c:numRef>
              <c:f>'10M Ohm'!$T$3:$T$17</c:f>
              <c:numCache>
                <c:formatCode>0.0</c:formatCode>
                <c:ptCount val="15"/>
                <c:pt idx="0">
                  <c:v>10000146</c:v>
                </c:pt>
                <c:pt idx="1">
                  <c:v>10000159</c:v>
                </c:pt>
                <c:pt idx="2">
                  <c:v>10000136</c:v>
                </c:pt>
                <c:pt idx="3">
                  <c:v>10000170.4</c:v>
                </c:pt>
                <c:pt idx="4">
                  <c:v>10000136.6</c:v>
                </c:pt>
                <c:pt idx="5">
                  <c:v>10000176.5</c:v>
                </c:pt>
                <c:pt idx="6">
                  <c:v>10000173.800000001</c:v>
                </c:pt>
                <c:pt idx="7">
                  <c:v>10000135.199999999</c:v>
                </c:pt>
                <c:pt idx="8">
                  <c:v>10000174</c:v>
                </c:pt>
                <c:pt idx="9">
                  <c:v>10000152</c:v>
                </c:pt>
                <c:pt idx="10">
                  <c:v>10000156</c:v>
                </c:pt>
                <c:pt idx="11">
                  <c:v>10000161</c:v>
                </c:pt>
                <c:pt idx="12">
                  <c:v>10000133</c:v>
                </c:pt>
                <c:pt idx="13">
                  <c:v>10000128</c:v>
                </c:pt>
                <c:pt idx="14">
                  <c:v>10000134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7C-4F52-B740-F45CA9BFBF8C}"/>
            </c:ext>
          </c:extLst>
        </c:ser>
        <c:ser>
          <c:idx val="1"/>
          <c:order val="1"/>
          <c:tx>
            <c:strRef>
              <c:f>'10M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'10M Ohm'!$Q$3:$Q$17</c:f>
              <c:numCache>
                <c:formatCode>0</c:formatCode>
                <c:ptCount val="15"/>
                <c:pt idx="0">
                  <c:v>0</c:v>
                </c:pt>
                <c:pt idx="1">
                  <c:v>455</c:v>
                </c:pt>
                <c:pt idx="2">
                  <c:v>0</c:v>
                </c:pt>
                <c:pt idx="3">
                  <c:v>223</c:v>
                </c:pt>
                <c:pt idx="4">
                  <c:v>397</c:v>
                </c:pt>
                <c:pt idx="5">
                  <c:v>540</c:v>
                </c:pt>
                <c:pt idx="6">
                  <c:v>884</c:v>
                </c:pt>
                <c:pt idx="7">
                  <c:v>1149</c:v>
                </c:pt>
                <c:pt idx="8">
                  <c:v>1367</c:v>
                </c:pt>
                <c:pt idx="9">
                  <c:v>1576</c:v>
                </c:pt>
                <c:pt idx="10">
                  <c:v>1805</c:v>
                </c:pt>
                <c:pt idx="11">
                  <c:v>2023</c:v>
                </c:pt>
                <c:pt idx="12">
                  <c:v>2280</c:v>
                </c:pt>
                <c:pt idx="13">
                  <c:v>2553</c:v>
                </c:pt>
                <c:pt idx="14">
                  <c:v>2848</c:v>
                </c:pt>
              </c:numCache>
            </c:numRef>
          </c:xVal>
          <c:yVal>
            <c:numRef>
              <c:f>'10M Ohm'!$V$3:$V$17</c:f>
              <c:numCache>
                <c:formatCode>0.0</c:formatCode>
                <c:ptCount val="15"/>
                <c:pt idx="0">
                  <c:v>10000157.78721248</c:v>
                </c:pt>
                <c:pt idx="1">
                  <c:v>10000155.653587809</c:v>
                </c:pt>
                <c:pt idx="2">
                  <c:v>10000157.78721248</c:v>
                </c:pt>
                <c:pt idx="3">
                  <c:v>10000156.741501927</c:v>
                </c:pt>
                <c:pt idx="4">
                  <c:v>10000155.925566338</c:v>
                </c:pt>
                <c:pt idx="5">
                  <c:v>10000155.254998583</c:v>
                </c:pt>
                <c:pt idx="6">
                  <c:v>10000153.641884547</c:v>
                </c:pt>
                <c:pt idx="7">
                  <c:v>10000152.399224022</c:v>
                </c:pt>
                <c:pt idx="8">
                  <c:v>10000151.376959894</c:v>
                </c:pt>
                <c:pt idx="9">
                  <c:v>10000150.396899331</c:v>
                </c:pt>
                <c:pt idx="10">
                  <c:v>10000149.323053068</c:v>
                </c:pt>
                <c:pt idx="11">
                  <c:v>10000148.300788939</c:v>
                </c:pt>
                <c:pt idx="12">
                  <c:v>10000147.095642697</c:v>
                </c:pt>
                <c:pt idx="13">
                  <c:v>10000145.815467894</c:v>
                </c:pt>
                <c:pt idx="14">
                  <c:v>10000144.432128821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7C-4F52-B740-F45CA9BFB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'10M Ohm'!$Q$3:$Q$17</c:f>
              <c:numCache>
                <c:formatCode>0</c:formatCode>
                <c:ptCount val="15"/>
                <c:pt idx="0">
                  <c:v>0</c:v>
                </c:pt>
                <c:pt idx="1">
                  <c:v>455</c:v>
                </c:pt>
                <c:pt idx="2">
                  <c:v>0</c:v>
                </c:pt>
                <c:pt idx="3">
                  <c:v>223</c:v>
                </c:pt>
                <c:pt idx="4">
                  <c:v>397</c:v>
                </c:pt>
                <c:pt idx="5">
                  <c:v>540</c:v>
                </c:pt>
                <c:pt idx="6">
                  <c:v>884</c:v>
                </c:pt>
                <c:pt idx="7">
                  <c:v>1149</c:v>
                </c:pt>
                <c:pt idx="8">
                  <c:v>1367</c:v>
                </c:pt>
                <c:pt idx="9">
                  <c:v>1576</c:v>
                </c:pt>
                <c:pt idx="10">
                  <c:v>1805</c:v>
                </c:pt>
                <c:pt idx="11">
                  <c:v>2023</c:v>
                </c:pt>
                <c:pt idx="12">
                  <c:v>2280</c:v>
                </c:pt>
                <c:pt idx="13">
                  <c:v>2553</c:v>
                </c:pt>
                <c:pt idx="14">
                  <c:v>2848</c:v>
                </c:pt>
              </c:numCache>
            </c:numRef>
          </c:xVal>
          <c:yVal>
            <c:numRef>
              <c:f>'10M Ohm'!$W$3:$W$17</c:f>
              <c:numCache>
                <c:formatCode>0.0</c:formatCode>
                <c:ptCount val="15"/>
                <c:pt idx="0">
                  <c:v>10000116.680161592</c:v>
                </c:pt>
                <c:pt idx="1">
                  <c:v>10000115.975134801</c:v>
                </c:pt>
                <c:pt idx="2">
                  <c:v>10000116.680161592</c:v>
                </c:pt>
                <c:pt idx="3">
                  <c:v>10000116.422602946</c:v>
                </c:pt>
                <c:pt idx="4">
                  <c:v>10000116.104677452</c:v>
                </c:pt>
                <c:pt idx="5">
                  <c:v>10000115.763565974</c:v>
                </c:pt>
                <c:pt idx="6">
                  <c:v>10000114.637201777</c:v>
                </c:pt>
                <c:pt idx="7">
                  <c:v>10000113.467514563</c:v>
                </c:pt>
                <c:pt idx="8">
                  <c:v>10000112.306608327</c:v>
                </c:pt>
                <c:pt idx="9">
                  <c:v>10000111.02696801</c:v>
                </c:pt>
                <c:pt idx="10">
                  <c:v>10000109.442007823</c:v>
                </c:pt>
                <c:pt idx="11">
                  <c:v>10000107.761961428</c:v>
                </c:pt>
                <c:pt idx="12">
                  <c:v>10000105.577924082</c:v>
                </c:pt>
                <c:pt idx="13">
                  <c:v>10000103.033043794</c:v>
                </c:pt>
                <c:pt idx="14">
                  <c:v>10000100.045226276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7C-4F52-B740-F45CA9BFBF8C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'10M Ohm'!$Q$3:$Q$17</c:f>
              <c:numCache>
                <c:formatCode>0</c:formatCode>
                <c:ptCount val="15"/>
                <c:pt idx="0">
                  <c:v>0</c:v>
                </c:pt>
                <c:pt idx="1">
                  <c:v>455</c:v>
                </c:pt>
                <c:pt idx="2">
                  <c:v>0</c:v>
                </c:pt>
                <c:pt idx="3">
                  <c:v>223</c:v>
                </c:pt>
                <c:pt idx="4">
                  <c:v>397</c:v>
                </c:pt>
                <c:pt idx="5">
                  <c:v>540</c:v>
                </c:pt>
                <c:pt idx="6">
                  <c:v>884</c:v>
                </c:pt>
                <c:pt idx="7">
                  <c:v>1149</c:v>
                </c:pt>
                <c:pt idx="8">
                  <c:v>1367</c:v>
                </c:pt>
                <c:pt idx="9">
                  <c:v>1576</c:v>
                </c:pt>
                <c:pt idx="10">
                  <c:v>1805</c:v>
                </c:pt>
                <c:pt idx="11">
                  <c:v>2023</c:v>
                </c:pt>
                <c:pt idx="12">
                  <c:v>2280</c:v>
                </c:pt>
                <c:pt idx="13">
                  <c:v>2553</c:v>
                </c:pt>
                <c:pt idx="14">
                  <c:v>2848</c:v>
                </c:pt>
              </c:numCache>
            </c:numRef>
          </c:xVal>
          <c:yVal>
            <c:numRef>
              <c:f>'10M Ohm'!$X$3:$X$17</c:f>
              <c:numCache>
                <c:formatCode>0.0</c:formatCode>
                <c:ptCount val="15"/>
                <c:pt idx="0">
                  <c:v>10000198.894263368</c:v>
                </c:pt>
                <c:pt idx="1">
                  <c:v>10000195.332040817</c:v>
                </c:pt>
                <c:pt idx="2">
                  <c:v>10000198.894263368</c:v>
                </c:pt>
                <c:pt idx="3">
                  <c:v>10000197.060400909</c:v>
                </c:pt>
                <c:pt idx="4">
                  <c:v>10000195.746455224</c:v>
                </c:pt>
                <c:pt idx="5">
                  <c:v>10000194.746431192</c:v>
                </c:pt>
                <c:pt idx="6">
                  <c:v>10000192.646567317</c:v>
                </c:pt>
                <c:pt idx="7">
                  <c:v>10000191.330933481</c:v>
                </c:pt>
                <c:pt idx="8">
                  <c:v>10000190.447311461</c:v>
                </c:pt>
                <c:pt idx="9">
                  <c:v>10000189.766830653</c:v>
                </c:pt>
                <c:pt idx="10">
                  <c:v>10000189.204098312</c:v>
                </c:pt>
                <c:pt idx="11">
                  <c:v>10000188.83961645</c:v>
                </c:pt>
                <c:pt idx="12">
                  <c:v>10000188.613361312</c:v>
                </c:pt>
                <c:pt idx="13">
                  <c:v>10000188.597891994</c:v>
                </c:pt>
                <c:pt idx="14">
                  <c:v>10000188.819031365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7C-4F52-B740-F45CA9BFB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116317</xdr:rowOff>
    </xdr:from>
    <xdr:to>
      <xdr:col>9</xdr:col>
      <xdr:colOff>341444</xdr:colOff>
      <xdr:row>46</xdr:row>
      <xdr:rowOff>68692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C3988A-B748-4EEE-8563-122E8144D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114188</xdr:colOff>
      <xdr:row>21</xdr:row>
      <xdr:rowOff>0</xdr:rowOff>
    </xdr:from>
    <xdr:to>
      <xdr:col>21</xdr:col>
      <xdr:colOff>178398</xdr:colOff>
      <xdr:row>41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FAACA-B35E-4638-A43B-AE1649B11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1%20Ohm.xlsx" TargetMode="External"/><Relationship Id="rId2" Type="http://schemas.openxmlformats.org/officeDocument/2006/relationships/externalLinkPath" Target="file:///C:\Users\ziyanang\Desktop\1%20Ohm.xlsx" TargetMode="External"/><Relationship Id="rId1" Type="http://schemas.openxmlformats.org/officeDocument/2006/relationships/externalLinkPath" Target="/Users/ziyanang/Desktop/1%20Oh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 Ohm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i-Yang Ang" id="{ADAF0A18-77A9-4F8D-9B16-51D578AE5DE5}" userId="S::zi-yang.ang@non.keysight.com::6ec80dae-b2a0-4d1b-90f8-6d857c105e2d" providerId="AD"/>
</personList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4-07-25T06:32:44.93" personId="{ADAF0A18-77A9-4F8D-9B16-51D578AE5DE5}" id="{99CB1384-0FCE-4B22-8F4B-4D80537AD654}">
    <text xml:space="preserve">This data point observed to be outside the regression limits was measured years ago before the current analysis was implemented.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6C7C-7149-46A7-AD36-075CE4215387}">
  <sheetPr>
    <tabColor theme="9" tint="0.39997558519241921"/>
  </sheetPr>
  <dimension ref="A1:X1048575"/>
  <sheetViews>
    <sheetView tabSelected="1" topLeftCell="B1" zoomScaleNormal="100" workbookViewId="0">
      <selection activeCell="V31" sqref="V31"/>
    </sheetView>
  </sheetViews>
  <sheetFormatPr defaultColWidth="8.81640625" defaultRowHeight="11.5" x14ac:dyDescent="0.35"/>
  <cols>
    <col min="1" max="1" width="11" style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0.453125" style="1" bestFit="1" customWidth="1"/>
    <col min="7" max="7" width="8.26953125" style="1" bestFit="1" customWidth="1"/>
    <col min="8" max="8" width="12.453125" style="1" bestFit="1" customWidth="1"/>
    <col min="9" max="9" width="13.54296875" style="1" bestFit="1" customWidth="1"/>
    <col min="10" max="10" width="12.453125" style="1" bestFit="1" customWidth="1"/>
    <col min="11" max="11" width="1" style="1" customWidth="1"/>
    <col min="12" max="12" width="8.453125" style="1" bestFit="1" customWidth="1"/>
    <col min="13" max="13" width="12" style="1" bestFit="1" customWidth="1"/>
    <col min="14" max="14" width="1" style="1" customWidth="1"/>
    <col min="15" max="15" width="10.54296875" style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20" width="11.453125" style="1" bestFit="1" customWidth="1"/>
    <col min="21" max="21" width="8.26953125" style="1" bestFit="1" customWidth="1"/>
    <col min="22" max="23" width="12.453125" style="1" bestFit="1" customWidth="1"/>
    <col min="24" max="24" width="12.54296875" style="1" bestFit="1" customWidth="1"/>
    <col min="25" max="16384" width="8.81640625" style="1"/>
  </cols>
  <sheetData>
    <row r="1" spans="1:24" ht="12" x14ac:dyDescent="0.35">
      <c r="A1" s="8"/>
      <c r="B1" s="9" t="s">
        <v>0</v>
      </c>
      <c r="C1" s="11" t="s">
        <v>1</v>
      </c>
      <c r="D1" s="11">
        <v>7540002</v>
      </c>
      <c r="E1" s="8"/>
      <c r="F1" s="8"/>
      <c r="G1" s="8"/>
      <c r="H1" s="23" t="s">
        <v>2</v>
      </c>
      <c r="I1" s="23"/>
      <c r="J1" s="23"/>
      <c r="K1" s="13"/>
      <c r="L1" s="24" t="s">
        <v>3</v>
      </c>
      <c r="M1" s="24"/>
      <c r="N1" s="13"/>
      <c r="O1" s="8"/>
      <c r="P1" s="9" t="s">
        <v>0</v>
      </c>
      <c r="Q1" s="11" t="s">
        <v>4</v>
      </c>
      <c r="R1" s="11">
        <v>7510007</v>
      </c>
      <c r="S1" s="8"/>
      <c r="T1" s="8"/>
      <c r="U1" s="8"/>
      <c r="V1" s="23" t="s">
        <v>2</v>
      </c>
      <c r="W1" s="23"/>
      <c r="X1" s="23"/>
    </row>
    <row r="2" spans="1:24" ht="13.15" customHeight="1" x14ac:dyDescent="0.35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20</v>
      </c>
      <c r="G2" s="9" t="s">
        <v>10</v>
      </c>
      <c r="H2" s="12" t="s">
        <v>11</v>
      </c>
      <c r="I2" s="12" t="s">
        <v>12</v>
      </c>
      <c r="J2" s="12" t="s">
        <v>13</v>
      </c>
      <c r="K2" s="13"/>
      <c r="L2" s="14" t="s">
        <v>14</v>
      </c>
      <c r="M2" s="15">
        <f ca="1">COUNT(Known_ys_PN010015)</f>
        <v>20</v>
      </c>
      <c r="N2" s="13"/>
      <c r="O2" s="9" t="s">
        <v>5</v>
      </c>
      <c r="P2" s="9" t="s">
        <v>6</v>
      </c>
      <c r="Q2" s="9" t="s">
        <v>7</v>
      </c>
      <c r="R2" s="9" t="s">
        <v>8</v>
      </c>
      <c r="S2" s="9" t="s">
        <v>9</v>
      </c>
      <c r="T2" s="10" t="s">
        <v>20</v>
      </c>
      <c r="U2" s="9" t="s">
        <v>10</v>
      </c>
      <c r="V2" s="12" t="s">
        <v>11</v>
      </c>
      <c r="W2" s="12" t="s">
        <v>12</v>
      </c>
      <c r="X2" s="12" t="s">
        <v>13</v>
      </c>
    </row>
    <row r="3" spans="1:24" x14ac:dyDescent="0.35">
      <c r="A3" s="7">
        <v>40981</v>
      </c>
      <c r="B3" s="3">
        <v>0</v>
      </c>
      <c r="C3" s="3">
        <v>0</v>
      </c>
      <c r="D3" s="6">
        <f t="shared" ref="D3:D18" si="0">(F3-10000000)/10000000*1000000</f>
        <v>7.1</v>
      </c>
      <c r="E3" s="6"/>
      <c r="F3" s="5">
        <v>10000071</v>
      </c>
      <c r="G3" s="4">
        <v>110</v>
      </c>
      <c r="H3" s="17">
        <f t="shared" ref="H3:H23" ca="1" si="1">_xlfn.FORECAST.LINEAR($C3,Known_ys_PN010015,Known_xs_PN010015)</f>
        <v>10000168.762634546</v>
      </c>
      <c r="I3" s="17">
        <f t="shared" ref="I3:I23" ca="1" si="2">$H3-ABS(_xlfn.T.INV(0.025,df_PN010015))*(Syx_PN010015*SQRT(1+1/n_PN010015+($C3-XBar_PN010015)^2/SSx_PN010015))</f>
        <v>10000072.753759259</v>
      </c>
      <c r="J3" s="17">
        <f t="shared" ref="J3:J23" ca="1" si="3">$H3+ABS(_xlfn.T.INV(0.025,df_PN010015))*(Syx_PN010015*SQRT(1+1/n_PN010015+($C3-XBar_PN010015)^2/SSx_PN010015))</f>
        <v>10000264.771509832</v>
      </c>
      <c r="K3" s="13"/>
      <c r="L3" s="14" t="s">
        <v>15</v>
      </c>
      <c r="M3" s="15">
        <f ca="1">n_PN010015-2</f>
        <v>18</v>
      </c>
      <c r="N3" s="13"/>
      <c r="O3" s="7">
        <v>42864</v>
      </c>
      <c r="P3" s="3">
        <v>0</v>
      </c>
      <c r="Q3" s="3">
        <v>0</v>
      </c>
      <c r="R3" s="6">
        <f t="shared" ref="R3:R11" si="4">(T3-10000000)/10000000*1000000</f>
        <v>14.600000000000001</v>
      </c>
      <c r="S3" s="6"/>
      <c r="T3" s="5">
        <v>10000146</v>
      </c>
      <c r="U3" s="4">
        <v>20</v>
      </c>
      <c r="V3" s="17">
        <f t="shared" ref="V3:V17" ca="1" si="5">_xlfn.FORECAST.LINEAR($Q3,Known_ys_PN010014,Known_xs_PN010014)</f>
        <v>10000157.78721248</v>
      </c>
      <c r="W3" s="17">
        <f t="shared" ref="W3:W17" ca="1" si="6">$V3-ABS(_xlfn.T.INV(0.025,df_PN010014))*(Syx_PN010014*SQRT(1+1/n_PN010014+($Q3-XBar_PN010014)^2/SSx_PN010014))</f>
        <v>10000116.680161592</v>
      </c>
      <c r="X3" s="17" cm="1">
        <f t="array" aca="1" ref="X3" ca="1">$V3+ABS(_xlfn.T.INV(0.025,df_PN010014))*(Syx_PN010014*SQRT(1+1/n_PN010014+($Q3-XBar_PN010014)^2/SSx_PN010014))</f>
        <v>10000198.894263368</v>
      </c>
    </row>
    <row r="4" spans="1:24" x14ac:dyDescent="0.35">
      <c r="A4" s="7">
        <v>41191</v>
      </c>
      <c r="B4" s="3">
        <f>A4-A3</f>
        <v>210</v>
      </c>
      <c r="C4" s="3">
        <f>SUM(B4:B$6)</f>
        <v>407</v>
      </c>
      <c r="D4" s="6">
        <f t="shared" si="0"/>
        <v>16.5</v>
      </c>
      <c r="E4" s="5">
        <f t="shared" ref="E4:E20" si="7">D4-D3</f>
        <v>9.4</v>
      </c>
      <c r="F4" s="5">
        <v>10000165</v>
      </c>
      <c r="G4" s="4">
        <v>110</v>
      </c>
      <c r="H4" s="17">
        <f t="shared" ca="1" si="1"/>
        <v>10000163.937553223</v>
      </c>
      <c r="I4" s="17">
        <f t="shared" ca="1" si="2"/>
        <v>10000069.404095083</v>
      </c>
      <c r="J4" s="17">
        <f t="shared" ca="1" si="3"/>
        <v>10000258.471011363</v>
      </c>
      <c r="K4" s="13"/>
      <c r="L4" s="14" t="s">
        <v>16</v>
      </c>
      <c r="M4" s="15">
        <f ca="1">AVERAGE(Known_xs_PN010015)</f>
        <v>1949.15</v>
      </c>
      <c r="N4" s="13"/>
      <c r="O4" s="7">
        <v>43096</v>
      </c>
      <c r="P4" s="3">
        <f>O4-O3</f>
        <v>232</v>
      </c>
      <c r="Q4" s="3">
        <f>SUM(P4:P$6)</f>
        <v>455</v>
      </c>
      <c r="R4" s="6">
        <f t="shared" si="4"/>
        <v>15.9</v>
      </c>
      <c r="S4" s="5">
        <f t="shared" ref="S4:S14" si="8">R4-R3</f>
        <v>1.2999999999999989</v>
      </c>
      <c r="T4" s="5">
        <v>10000159</v>
      </c>
      <c r="U4" s="4">
        <v>20</v>
      </c>
      <c r="V4" s="17">
        <f t="shared" ca="1" si="5"/>
        <v>10000155.653587809</v>
      </c>
      <c r="W4" s="17">
        <f t="shared" ca="1" si="6"/>
        <v>10000115.975134801</v>
      </c>
      <c r="X4" s="17" cm="1">
        <f t="array" aca="1" ref="X4" ca="1">$V4+ABS(_xlfn.T.INV(0.025,df_PN010014))*(Syx_PN010014*SQRT(1+1/n_PN010014+($Q4-XBar_PN010014)^2/SSx_PN010014))</f>
        <v>10000195.332040817</v>
      </c>
    </row>
    <row r="5" spans="1:24" x14ac:dyDescent="0.35">
      <c r="A5" s="7">
        <v>41395</v>
      </c>
      <c r="B5" s="3">
        <v>0</v>
      </c>
      <c r="C5" s="3">
        <v>0</v>
      </c>
      <c r="D5" s="6">
        <f t="shared" si="0"/>
        <v>23.200000000000003</v>
      </c>
      <c r="E5" s="5">
        <f t="shared" si="7"/>
        <v>6.7000000000000028</v>
      </c>
      <c r="F5" s="5">
        <v>10000232</v>
      </c>
      <c r="G5" s="4">
        <v>110</v>
      </c>
      <c r="H5" s="17">
        <f t="shared" ca="1" si="1"/>
        <v>10000168.762634546</v>
      </c>
      <c r="I5" s="17">
        <f t="shared" ca="1" si="2"/>
        <v>10000072.753759259</v>
      </c>
      <c r="J5" s="17">
        <f t="shared" ca="1" si="3"/>
        <v>10000264.771509832</v>
      </c>
      <c r="K5" s="13"/>
      <c r="L5" s="14" t="s">
        <v>17</v>
      </c>
      <c r="M5" s="15">
        <f ca="1">STEYX(Known_ys_PN010015,Known_xs_PN010015)</f>
        <v>42.740141142174366</v>
      </c>
      <c r="N5" s="13"/>
      <c r="O5" s="7">
        <v>43292</v>
      </c>
      <c r="P5" s="3">
        <v>0</v>
      </c>
      <c r="Q5" s="3">
        <v>0</v>
      </c>
      <c r="R5" s="6">
        <f t="shared" si="4"/>
        <v>13.6</v>
      </c>
      <c r="S5" s="5">
        <f t="shared" si="8"/>
        <v>-2.3000000000000007</v>
      </c>
      <c r="T5" s="5">
        <v>10000136</v>
      </c>
      <c r="U5" s="4">
        <v>49</v>
      </c>
      <c r="V5" s="17">
        <f t="shared" ca="1" si="5"/>
        <v>10000157.78721248</v>
      </c>
      <c r="W5" s="17">
        <f t="shared" ca="1" si="6"/>
        <v>10000116.680161592</v>
      </c>
      <c r="X5" s="17" cm="1">
        <f t="array" aca="1" ref="X5" ca="1">$V5+ABS(_xlfn.T.INV(0.025,df_PN010014))*(Syx_PN010014*SQRT(1+1/n_PN010014+($Q5-XBar_PN010014)^2/SSx_PN010014))</f>
        <v>10000198.894263368</v>
      </c>
    </row>
    <row r="6" spans="1:24" x14ac:dyDescent="0.35">
      <c r="A6" s="18">
        <v>41592</v>
      </c>
      <c r="B6" s="19">
        <f t="shared" ref="B6:B20" si="9">A6-A5</f>
        <v>197</v>
      </c>
      <c r="C6" s="19">
        <f>SUM(B$6:B6)</f>
        <v>197</v>
      </c>
      <c r="D6" s="20">
        <f t="shared" si="0"/>
        <v>27.7</v>
      </c>
      <c r="E6" s="21">
        <f t="shared" si="7"/>
        <v>4.4999999999999964</v>
      </c>
      <c r="F6" s="21">
        <v>10000277</v>
      </c>
      <c r="G6" s="22">
        <v>53.5</v>
      </c>
      <c r="H6" s="21">
        <f t="shared" ca="1" si="1"/>
        <v>10000166.427152922</v>
      </c>
      <c r="I6" s="21">
        <f t="shared" ca="1" si="2"/>
        <v>10000071.172523839</v>
      </c>
      <c r="J6" s="21">
        <f t="shared" ca="1" si="3"/>
        <v>10000261.681782005</v>
      </c>
      <c r="K6" s="13"/>
      <c r="L6" s="14" t="s">
        <v>18</v>
      </c>
      <c r="M6" s="15">
        <f ca="1">DEVSQ(Known_xs_PN010015)</f>
        <v>40753700.550000004</v>
      </c>
      <c r="N6" s="13"/>
      <c r="O6" s="7">
        <v>43515</v>
      </c>
      <c r="P6" s="3">
        <f t="shared" ref="P6:P14" si="10">O6-O5</f>
        <v>223</v>
      </c>
      <c r="Q6" s="3">
        <f>SUM(P$6:P6)</f>
        <v>223</v>
      </c>
      <c r="R6" s="6">
        <f t="shared" si="4"/>
        <v>17.040000000037253</v>
      </c>
      <c r="S6" s="5">
        <f t="shared" si="8"/>
        <v>3.4400000000372533</v>
      </c>
      <c r="T6" s="5">
        <v>10000170.4</v>
      </c>
      <c r="U6" s="4">
        <v>49</v>
      </c>
      <c r="V6" s="17">
        <f t="shared" ca="1" si="5"/>
        <v>10000156.741501927</v>
      </c>
      <c r="W6" s="17">
        <f t="shared" ca="1" si="6"/>
        <v>10000116.422602946</v>
      </c>
      <c r="X6" s="17" cm="1">
        <f t="array" aca="1" ref="X6" ca="1">$V6+ABS(_xlfn.T.INV(0.025,df_PN010014))*(Syx_PN010014*SQRT(1+1/n_PN010014+($Q6-XBar_PN010014)^2/SSx_PN010014))</f>
        <v>10000197.060400909</v>
      </c>
    </row>
    <row r="7" spans="1:24" x14ac:dyDescent="0.35">
      <c r="A7" s="7">
        <v>41820</v>
      </c>
      <c r="B7" s="3">
        <f t="shared" si="9"/>
        <v>228</v>
      </c>
      <c r="C7" s="3">
        <f>SUM(B$6:B7)</f>
        <v>425</v>
      </c>
      <c r="D7" s="6">
        <f t="shared" si="0"/>
        <v>18.8</v>
      </c>
      <c r="E7" s="5">
        <f t="shared" si="7"/>
        <v>-8.8999999999999986</v>
      </c>
      <c r="F7" s="5">
        <v>10000188</v>
      </c>
      <c r="G7" s="4">
        <v>53.5</v>
      </c>
      <c r="H7" s="17">
        <f t="shared" ca="1" si="1"/>
        <v>10000163.724158963</v>
      </c>
      <c r="I7" s="17">
        <f t="shared" ca="1" si="2"/>
        <v>10000069.248474376</v>
      </c>
      <c r="J7" s="17">
        <f t="shared" ca="1" si="3"/>
        <v>10000258.19984355</v>
      </c>
      <c r="K7" s="13"/>
      <c r="L7" s="13"/>
      <c r="M7" s="13"/>
      <c r="N7" s="13"/>
      <c r="O7" s="7">
        <v>43689</v>
      </c>
      <c r="P7" s="3">
        <f t="shared" si="10"/>
        <v>174</v>
      </c>
      <c r="Q7" s="3">
        <f>SUM(P$6:P7)</f>
        <v>397</v>
      </c>
      <c r="R7" s="6">
        <f t="shared" si="4"/>
        <v>13.659999999962746</v>
      </c>
      <c r="S7" s="5">
        <f t="shared" si="8"/>
        <v>-3.3800000000745065</v>
      </c>
      <c r="T7" s="5">
        <v>10000136.6</v>
      </c>
      <c r="U7" s="4">
        <v>49</v>
      </c>
      <c r="V7" s="17">
        <f t="shared" ca="1" si="5"/>
        <v>10000155.925566338</v>
      </c>
      <c r="W7" s="17">
        <f t="shared" ca="1" si="6"/>
        <v>10000116.104677452</v>
      </c>
      <c r="X7" s="17" cm="1">
        <f t="array" aca="1" ref="X7" ca="1">$V7+ABS(_xlfn.T.INV(0.025,df_PN010014))*(Syx_PN010014*SQRT(1+1/n_PN010014+($Q7-XBar_PN010014)^2/SSx_PN010014))</f>
        <v>10000195.746455224</v>
      </c>
    </row>
    <row r="8" spans="1:24" ht="12" x14ac:dyDescent="0.35">
      <c r="A8" s="7">
        <v>41999</v>
      </c>
      <c r="B8" s="3">
        <f t="shared" si="9"/>
        <v>179</v>
      </c>
      <c r="C8" s="3">
        <f>SUM(B$6:B8)</f>
        <v>604</v>
      </c>
      <c r="D8" s="6">
        <f t="shared" si="0"/>
        <v>10.680000000074505</v>
      </c>
      <c r="E8" s="5">
        <f t="shared" si="7"/>
        <v>-8.1199999999254953</v>
      </c>
      <c r="F8" s="5">
        <v>10000106.800000001</v>
      </c>
      <c r="G8" s="4">
        <v>20</v>
      </c>
      <c r="H8" s="17">
        <f t="shared" ca="1" si="1"/>
        <v>10000161.6020716</v>
      </c>
      <c r="I8" s="17">
        <f t="shared" ca="1" si="2"/>
        <v>10000067.665705169</v>
      </c>
      <c r="J8" s="17">
        <f t="shared" ca="1" si="3"/>
        <v>10000255.538438031</v>
      </c>
      <c r="K8" s="13"/>
      <c r="L8" s="24" t="s">
        <v>19</v>
      </c>
      <c r="M8" s="24"/>
      <c r="N8" s="13"/>
      <c r="O8" s="7">
        <v>43832</v>
      </c>
      <c r="P8" s="3">
        <f t="shared" si="10"/>
        <v>143</v>
      </c>
      <c r="Q8" s="3">
        <f>SUM(P$6:P8)</f>
        <v>540</v>
      </c>
      <c r="R8" s="6">
        <f t="shared" si="4"/>
        <v>17.649999999999999</v>
      </c>
      <c r="S8" s="5">
        <f t="shared" si="8"/>
        <v>3.9900000000372522</v>
      </c>
      <c r="T8" s="5">
        <v>10000176.5</v>
      </c>
      <c r="U8" s="4">
        <v>49</v>
      </c>
      <c r="V8" s="17">
        <f t="shared" ca="1" si="5"/>
        <v>10000155.254998583</v>
      </c>
      <c r="W8" s="17">
        <f t="shared" ca="1" si="6"/>
        <v>10000115.763565974</v>
      </c>
      <c r="X8" s="17" cm="1">
        <f t="array" aca="1" ref="X8" ca="1">$V8+ABS(_xlfn.T.INV(0.025,df_PN010014))*(Syx_PN010014*SQRT(1+1/n_PN010014+($Q8-XBar_PN010014)^2/SSx_PN010014))</f>
        <v>10000194.746431192</v>
      </c>
    </row>
    <row r="9" spans="1:24" x14ac:dyDescent="0.35">
      <c r="A9" s="7">
        <v>42221</v>
      </c>
      <c r="B9" s="3">
        <f t="shared" si="9"/>
        <v>222</v>
      </c>
      <c r="C9" s="3">
        <f>SUM(B$6:B9)</f>
        <v>826</v>
      </c>
      <c r="D9" s="6">
        <f t="shared" si="0"/>
        <v>12.4</v>
      </c>
      <c r="E9" s="5">
        <f t="shared" si="7"/>
        <v>1.7199999999254949</v>
      </c>
      <c r="F9" s="5">
        <v>10000124</v>
      </c>
      <c r="G9" s="4">
        <v>20</v>
      </c>
      <c r="H9" s="17">
        <f t="shared" ca="1" si="1"/>
        <v>10000158.97020906</v>
      </c>
      <c r="I9" s="17">
        <f t="shared" ca="1" si="2"/>
        <v>10000065.612673931</v>
      </c>
      <c r="J9" s="17">
        <f t="shared" ca="1" si="3"/>
        <v>10000252.32774419</v>
      </c>
      <c r="K9" s="13"/>
      <c r="L9" s="14" t="s">
        <v>14</v>
      </c>
      <c r="M9" s="15">
        <f ca="1">COUNT(Known_ys_PN010014)</f>
        <v>14</v>
      </c>
      <c r="N9" s="13"/>
      <c r="O9" s="7">
        <v>44176</v>
      </c>
      <c r="P9" s="3">
        <f t="shared" si="10"/>
        <v>344</v>
      </c>
      <c r="Q9" s="3">
        <f>SUM(P$6:P9)</f>
        <v>884</v>
      </c>
      <c r="R9" s="6">
        <f t="shared" si="4"/>
        <v>17.380000000074503</v>
      </c>
      <c r="S9" s="5">
        <f t="shared" si="8"/>
        <v>-0.26999999992549562</v>
      </c>
      <c r="T9" s="5">
        <v>10000173.800000001</v>
      </c>
      <c r="U9" s="4">
        <v>49</v>
      </c>
      <c r="V9" s="17">
        <f t="shared" ca="1" si="5"/>
        <v>10000153.641884547</v>
      </c>
      <c r="W9" s="17">
        <f t="shared" ca="1" si="6"/>
        <v>10000114.637201777</v>
      </c>
      <c r="X9" s="17" cm="1">
        <f t="array" aca="1" ref="X9" ca="1">$V9+ABS(_xlfn.T.INV(0.025,df_PN010014))*(Syx_PN010014*SQRT(1+1/n_PN010014+($Q9-XBar_PN010014)^2/SSx_PN010014))</f>
        <v>10000192.646567317</v>
      </c>
    </row>
    <row r="10" spans="1:24" x14ac:dyDescent="0.35">
      <c r="A10" s="7">
        <v>42472</v>
      </c>
      <c r="B10" s="3">
        <f t="shared" si="9"/>
        <v>251</v>
      </c>
      <c r="C10" s="3">
        <f>SUM(B$6:B10)</f>
        <v>1077</v>
      </c>
      <c r="D10" s="6">
        <f t="shared" si="0"/>
        <v>14.600000000000001</v>
      </c>
      <c r="E10" s="5">
        <f t="shared" si="7"/>
        <v>2.2000000000000011</v>
      </c>
      <c r="F10" s="5">
        <v>10000146</v>
      </c>
      <c r="G10" s="4">
        <v>20</v>
      </c>
      <c r="H10" s="17">
        <f t="shared" ca="1" si="1"/>
        <v>10000155.994544657</v>
      </c>
      <c r="I10" s="17">
        <f t="shared" ca="1" si="2"/>
        <v>10000063.16919977</v>
      </c>
      <c r="J10" s="17">
        <f t="shared" ca="1" si="3"/>
        <v>10000248.819889544</v>
      </c>
      <c r="K10" s="13"/>
      <c r="L10" s="14" t="s">
        <v>15</v>
      </c>
      <c r="M10" s="15">
        <f ca="1">n_PN010014-2</f>
        <v>12</v>
      </c>
      <c r="N10" s="13"/>
      <c r="O10" s="7">
        <v>44441</v>
      </c>
      <c r="P10" s="3">
        <f t="shared" si="10"/>
        <v>265</v>
      </c>
      <c r="Q10" s="3">
        <f>SUM(P$6:P10)</f>
        <v>1149</v>
      </c>
      <c r="R10" s="6">
        <f t="shared" si="4"/>
        <v>13.519999999925494</v>
      </c>
      <c r="S10" s="5">
        <f t="shared" si="8"/>
        <v>-3.8600000001490091</v>
      </c>
      <c r="T10" s="5">
        <v>10000135.199999999</v>
      </c>
      <c r="U10" s="4">
        <v>49</v>
      </c>
      <c r="V10" s="17">
        <f t="shared" ca="1" si="5"/>
        <v>10000152.399224022</v>
      </c>
      <c r="W10" s="17">
        <f t="shared" ca="1" si="6"/>
        <v>10000113.467514563</v>
      </c>
      <c r="X10" s="17" cm="1">
        <f t="array" aca="1" ref="X10" ca="1">$V10+ABS(_xlfn.T.INV(0.025,df_PN010014))*(Syx_PN010014*SQRT(1+1/n_PN010014+($Q10-XBar_PN010014)^2/SSx_PN010014))</f>
        <v>10000191.330933481</v>
      </c>
    </row>
    <row r="11" spans="1:24" x14ac:dyDescent="0.35">
      <c r="A11" s="7">
        <v>42983</v>
      </c>
      <c r="B11" s="3">
        <f t="shared" si="9"/>
        <v>511</v>
      </c>
      <c r="C11" s="3">
        <f>SUM(B$6:B11)</f>
        <v>1588</v>
      </c>
      <c r="D11" s="6">
        <f t="shared" si="0"/>
        <v>12.2</v>
      </c>
      <c r="E11" s="5">
        <f t="shared" si="7"/>
        <v>-2.4000000000000021</v>
      </c>
      <c r="F11" s="5">
        <v>10000122</v>
      </c>
      <c r="G11" s="4">
        <v>20</v>
      </c>
      <c r="H11" s="17">
        <f t="shared" ca="1" si="1"/>
        <v>10000149.936518721</v>
      </c>
      <c r="I11" s="17">
        <f t="shared" ca="1" si="2"/>
        <v>10000057.785232186</v>
      </c>
      <c r="J11" s="17">
        <f t="shared" ca="1" si="3"/>
        <v>10000242.087805256</v>
      </c>
      <c r="K11" s="13"/>
      <c r="L11" s="14" t="s">
        <v>16</v>
      </c>
      <c r="M11" s="15">
        <f ca="1">AVERAGE(Known_xs_PN010014)</f>
        <v>1089.4285714285713</v>
      </c>
      <c r="N11" s="13"/>
      <c r="O11" s="7">
        <v>44659</v>
      </c>
      <c r="P11" s="3">
        <f t="shared" si="10"/>
        <v>218</v>
      </c>
      <c r="Q11" s="3">
        <f>SUM(P$6:P11)</f>
        <v>1367</v>
      </c>
      <c r="R11" s="6">
        <f t="shared" si="4"/>
        <v>17.399999999999999</v>
      </c>
      <c r="S11" s="5">
        <f t="shared" si="8"/>
        <v>3.8800000000745047</v>
      </c>
      <c r="T11" s="5">
        <v>10000174</v>
      </c>
      <c r="U11" s="4">
        <v>49</v>
      </c>
      <c r="V11" s="17">
        <f t="shared" ca="1" si="5"/>
        <v>10000151.376959894</v>
      </c>
      <c r="W11" s="17">
        <f t="shared" ca="1" si="6"/>
        <v>10000112.306608327</v>
      </c>
      <c r="X11" s="17" cm="1">
        <f t="array" aca="1" ref="X11" ca="1">$V11+ABS(_xlfn.T.INV(0.025,df_PN010014))*(Syx_PN010014*SQRT(1+1/n_PN010014+($Q11-XBar_PN010014)^2/SSx_PN010014))</f>
        <v>10000190.447311461</v>
      </c>
    </row>
    <row r="12" spans="1:24" x14ac:dyDescent="0.35">
      <c r="A12" s="7">
        <v>43188</v>
      </c>
      <c r="B12" s="3">
        <f t="shared" si="9"/>
        <v>205</v>
      </c>
      <c r="C12" s="3">
        <f>SUM(B$6:B12)</f>
        <v>1793</v>
      </c>
      <c r="D12" s="6">
        <f t="shared" si="0"/>
        <v>14.7</v>
      </c>
      <c r="E12" s="5">
        <f t="shared" si="7"/>
        <v>2.5</v>
      </c>
      <c r="F12" s="5">
        <v>10000147</v>
      </c>
      <c r="G12" s="4">
        <v>20</v>
      </c>
      <c r="H12" s="17">
        <f t="shared" ca="1" si="1"/>
        <v>10000147.506195204</v>
      </c>
      <c r="I12" s="17">
        <f t="shared" ca="1" si="2"/>
        <v>10000055.468817703</v>
      </c>
      <c r="J12" s="17">
        <f t="shared" ca="1" si="3"/>
        <v>10000239.543572705</v>
      </c>
      <c r="K12" s="13"/>
      <c r="L12" s="14" t="s">
        <v>17</v>
      </c>
      <c r="M12" s="15">
        <f ca="1">STEYX(Known_ys_PN010014,Known_xs_PN010014)</f>
        <v>17.259456518042967</v>
      </c>
      <c r="N12" s="13"/>
      <c r="O12" s="7">
        <v>44868</v>
      </c>
      <c r="P12" s="3">
        <f t="shared" si="10"/>
        <v>209</v>
      </c>
      <c r="Q12" s="3">
        <f>SUM(P$6:P12)</f>
        <v>1576</v>
      </c>
      <c r="R12" s="6">
        <f t="shared" ref="R12:R14" si="11">(T12-10000000)/10000000*1000000</f>
        <v>15.2</v>
      </c>
      <c r="S12" s="5">
        <f t="shared" si="8"/>
        <v>-2.1999999999999993</v>
      </c>
      <c r="T12" s="5">
        <v>10000152</v>
      </c>
      <c r="U12" s="4">
        <v>49</v>
      </c>
      <c r="V12" s="17">
        <f t="shared" ca="1" si="5"/>
        <v>10000150.396899331</v>
      </c>
      <c r="W12" s="17">
        <f t="shared" ca="1" si="6"/>
        <v>10000111.02696801</v>
      </c>
      <c r="X12" s="17" cm="1">
        <f t="array" aca="1" ref="X12" ca="1">$V12+ABS(_xlfn.T.INV(0.025,df_PN010014))*(Syx_PN010014*SQRT(1+1/n_PN010014+($Q12-XBar_PN010014)^2/SSx_PN010014))</f>
        <v>10000189.766830653</v>
      </c>
    </row>
    <row r="13" spans="1:24" x14ac:dyDescent="0.35">
      <c r="A13" s="7">
        <v>43391</v>
      </c>
      <c r="B13" s="3">
        <f t="shared" si="9"/>
        <v>203</v>
      </c>
      <c r="C13" s="3">
        <f>SUM(B$6:B13)</f>
        <v>1996</v>
      </c>
      <c r="D13" s="6">
        <f t="shared" si="0"/>
        <v>14.2</v>
      </c>
      <c r="E13" s="5">
        <f t="shared" si="7"/>
        <v>-0.5</v>
      </c>
      <c r="F13" s="5">
        <v>10000142</v>
      </c>
      <c r="G13" s="4">
        <v>20</v>
      </c>
      <c r="H13" s="17">
        <f t="shared" ca="1" si="1"/>
        <v>10000145.099582162</v>
      </c>
      <c r="I13" s="17">
        <f t="shared" ca="1" si="2"/>
        <v>10000053.086055461</v>
      </c>
      <c r="J13" s="17">
        <f t="shared" ca="1" si="3"/>
        <v>10000237.113108862</v>
      </c>
      <c r="K13" s="13"/>
      <c r="L13" s="14" t="s">
        <v>18</v>
      </c>
      <c r="M13" s="15">
        <f ca="1">DEVSQ(Known_xs_PN010014)</f>
        <v>9610883.428571431</v>
      </c>
      <c r="N13" s="13"/>
      <c r="O13" s="7">
        <v>45097</v>
      </c>
      <c r="P13" s="3">
        <f t="shared" si="10"/>
        <v>229</v>
      </c>
      <c r="Q13" s="3">
        <f>SUM(P$6:P13)</f>
        <v>1805</v>
      </c>
      <c r="R13" s="6">
        <f t="shared" si="11"/>
        <v>15.6</v>
      </c>
      <c r="S13" s="5">
        <f t="shared" si="8"/>
        <v>0.40000000000000036</v>
      </c>
      <c r="T13" s="5">
        <v>10000156</v>
      </c>
      <c r="U13" s="4">
        <v>49</v>
      </c>
      <c r="V13" s="17">
        <f t="shared" ca="1" si="5"/>
        <v>10000149.323053068</v>
      </c>
      <c r="W13" s="17">
        <f t="shared" ca="1" si="6"/>
        <v>10000109.442007823</v>
      </c>
      <c r="X13" s="17" cm="1">
        <f t="array" aca="1" ref="X13" ca="1">$V13+ABS(_xlfn.T.INV(0.025,df_PN010014))*(Syx_PN010014*SQRT(1+1/n_PN010014+($Q13-XBar_PN010014)^2/SSx_PN010014))</f>
        <v>10000189.204098312</v>
      </c>
    </row>
    <row r="14" spans="1:24" x14ac:dyDescent="0.35">
      <c r="A14" s="7">
        <v>43598</v>
      </c>
      <c r="B14" s="3">
        <f t="shared" si="9"/>
        <v>207</v>
      </c>
      <c r="C14" s="3">
        <f>SUM(B$6:B14)</f>
        <v>2203</v>
      </c>
      <c r="D14" s="6">
        <f t="shared" si="0"/>
        <v>14.95</v>
      </c>
      <c r="E14" s="5">
        <f t="shared" si="7"/>
        <v>0.75</v>
      </c>
      <c r="F14" s="5">
        <v>10000149.5</v>
      </c>
      <c r="G14" s="4">
        <f>0.0000049*10000000</f>
        <v>49</v>
      </c>
      <c r="H14" s="17">
        <f t="shared" ca="1" si="1"/>
        <v>10000142.645548172</v>
      </c>
      <c r="I14" s="17">
        <f t="shared" ca="1" si="2"/>
        <v>10000050.565127192</v>
      </c>
      <c r="J14" s="17">
        <f t="shared" ca="1" si="3"/>
        <v>10000234.725969153</v>
      </c>
      <c r="K14" s="13"/>
      <c r="L14" s="16"/>
      <c r="M14" s="16"/>
      <c r="N14" s="13"/>
      <c r="O14" s="7">
        <v>45315</v>
      </c>
      <c r="P14" s="3">
        <f t="shared" si="10"/>
        <v>218</v>
      </c>
      <c r="Q14" s="3">
        <f>SUM(P$6:P14)</f>
        <v>2023</v>
      </c>
      <c r="R14" s="6">
        <f t="shared" si="11"/>
        <v>16.099999999999998</v>
      </c>
      <c r="S14" s="5">
        <f t="shared" si="8"/>
        <v>0.49999999999999822</v>
      </c>
      <c r="T14" s="5">
        <v>10000161</v>
      </c>
      <c r="U14" s="4">
        <v>49</v>
      </c>
      <c r="V14" s="17">
        <f t="shared" ca="1" si="5"/>
        <v>10000148.300788939</v>
      </c>
      <c r="W14" s="17">
        <f t="shared" ca="1" si="6"/>
        <v>10000107.761961428</v>
      </c>
      <c r="X14" s="17" cm="1">
        <f t="array" aca="1" ref="X14" ca="1">$V14+ABS(_xlfn.T.INV(0.025,df_PN010014))*(Syx_PN010014*SQRT(1+1/n_PN010014+($Q14-XBar_PN010014)^2/SSx_PN010014))</f>
        <v>10000188.83961645</v>
      </c>
    </row>
    <row r="15" spans="1:24" x14ac:dyDescent="0.35">
      <c r="A15" s="7">
        <v>43970</v>
      </c>
      <c r="B15" s="3">
        <f t="shared" si="9"/>
        <v>372</v>
      </c>
      <c r="C15" s="3">
        <f>SUM(B$6:B15)</f>
        <v>2575</v>
      </c>
      <c r="D15" s="6">
        <f t="shared" si="0"/>
        <v>14.1</v>
      </c>
      <c r="E15" s="5">
        <f t="shared" si="7"/>
        <v>-0.84999999999999964</v>
      </c>
      <c r="F15" s="5">
        <v>10000141</v>
      </c>
      <c r="G15" s="4">
        <f>0.0000049*10000000</f>
        <v>49</v>
      </c>
      <c r="H15" s="17">
        <f t="shared" ca="1" si="1"/>
        <v>10000138.235400133</v>
      </c>
      <c r="I15" s="17">
        <f t="shared" ca="1" si="2"/>
        <v>10000045.804083278</v>
      </c>
      <c r="J15" s="17">
        <f t="shared" ca="1" si="3"/>
        <v>10000230.666716987</v>
      </c>
      <c r="K15" s="4"/>
      <c r="L15" s="4"/>
      <c r="M15" s="4"/>
      <c r="O15" s="7">
        <v>45572</v>
      </c>
      <c r="P15" s="3">
        <f t="shared" ref="P15" si="12">O15-O14</f>
        <v>257</v>
      </c>
      <c r="Q15" s="3">
        <f>SUM(P$6:P15)</f>
        <v>2280</v>
      </c>
      <c r="R15" s="6">
        <f t="shared" ref="R15" si="13">(T15-10000000)/10000000*1000000</f>
        <v>13.299999999999999</v>
      </c>
      <c r="S15" s="5">
        <f t="shared" ref="S15" si="14">R15-R14</f>
        <v>-2.7999999999999989</v>
      </c>
      <c r="T15" s="5">
        <v>10000133</v>
      </c>
      <c r="U15" s="4">
        <v>49</v>
      </c>
      <c r="V15" s="17">
        <f t="shared" ca="1" si="5"/>
        <v>10000147.095642697</v>
      </c>
      <c r="W15" s="17">
        <f t="shared" ca="1" si="6"/>
        <v>10000105.577924082</v>
      </c>
      <c r="X15" s="17" cm="1">
        <f t="array" aca="1" ref="X15" ca="1">$V15+ABS(_xlfn.T.INV(0.025,df_PN010014))*(Syx_PN010014*SQRT(1+1/n_PN010014+($Q15-XBar_PN010014)^2/SSx_PN010014))</f>
        <v>10000188.613361312</v>
      </c>
    </row>
    <row r="16" spans="1:24" x14ac:dyDescent="0.35">
      <c r="A16" s="7">
        <v>44323</v>
      </c>
      <c r="B16" s="3">
        <f t="shared" si="9"/>
        <v>353</v>
      </c>
      <c r="C16" s="3">
        <f>SUM(B$6:B16)</f>
        <v>2928</v>
      </c>
      <c r="D16" s="6">
        <f t="shared" si="0"/>
        <v>15.280000000074505</v>
      </c>
      <c r="E16" s="5">
        <f t="shared" si="7"/>
        <v>1.1800000000745055</v>
      </c>
      <c r="F16" s="5">
        <v>10000152.800000001</v>
      </c>
      <c r="G16" s="4">
        <f>0.0000049*10000000</f>
        <v>49</v>
      </c>
      <c r="H16" s="17">
        <f t="shared" ca="1" si="1"/>
        <v>10000134.050501591</v>
      </c>
      <c r="I16" s="17">
        <f t="shared" ca="1" si="2"/>
        <v>10000041.014920518</v>
      </c>
      <c r="J16" s="17">
        <f t="shared" ca="1" si="3"/>
        <v>10000227.086082663</v>
      </c>
      <c r="K16" s="4"/>
      <c r="L16" s="4"/>
      <c r="M16" s="4"/>
      <c r="O16" s="7">
        <v>45845</v>
      </c>
      <c r="P16" s="3">
        <f t="shared" ref="P16" si="15">O16-O15</f>
        <v>273</v>
      </c>
      <c r="Q16" s="3">
        <f>SUM(P$6:P16)</f>
        <v>2553</v>
      </c>
      <c r="R16" s="6">
        <f t="shared" ref="R16" si="16">(T16-10000000)/10000000*1000000</f>
        <v>12.799999999999999</v>
      </c>
      <c r="S16" s="5">
        <f t="shared" ref="S16" si="17">R16-R15</f>
        <v>-0.5</v>
      </c>
      <c r="T16" s="5">
        <v>10000128</v>
      </c>
      <c r="U16" s="4">
        <v>49</v>
      </c>
      <c r="V16" s="17">
        <f t="shared" ca="1" si="5"/>
        <v>10000145.815467894</v>
      </c>
      <c r="W16" s="17">
        <f t="shared" ca="1" si="6"/>
        <v>10000103.033043794</v>
      </c>
      <c r="X16" s="17" cm="1">
        <f t="array" aca="1" ref="X16" ca="1">$V16+ABS(_xlfn.T.INV(0.025,df_PN010014))*(Syx_PN010014*SQRT(1+1/n_PN010014+($Q16-XBar_PN010014)^2/SSx_PN010014))</f>
        <v>10000188.597891994</v>
      </c>
    </row>
    <row r="17" spans="1:24" x14ac:dyDescent="0.35">
      <c r="A17" s="7">
        <v>44550</v>
      </c>
      <c r="B17" s="3">
        <f t="shared" si="9"/>
        <v>227</v>
      </c>
      <c r="C17" s="3">
        <f>SUM(B$6:B17)</f>
        <v>3155</v>
      </c>
      <c r="D17" s="6">
        <f t="shared" si="0"/>
        <v>11.600000000000001</v>
      </c>
      <c r="E17" s="5">
        <f t="shared" si="7"/>
        <v>-3.6800000000745037</v>
      </c>
      <c r="F17" s="5">
        <v>10000116</v>
      </c>
      <c r="G17" s="4">
        <f>0.0000049*10000000</f>
        <v>49</v>
      </c>
      <c r="H17" s="17">
        <f t="shared" ca="1" si="1"/>
        <v>10000131.359362867</v>
      </c>
      <c r="I17" s="17">
        <f t="shared" ca="1" si="2"/>
        <v>10000037.797960976</v>
      </c>
      <c r="J17" s="17">
        <f t="shared" ca="1" si="3"/>
        <v>10000224.920764757</v>
      </c>
      <c r="K17" s="4"/>
      <c r="L17" s="4"/>
      <c r="M17" s="4"/>
      <c r="O17" s="7">
        <v>46140</v>
      </c>
      <c r="P17" s="3">
        <f t="shared" ref="P17" si="18">O17-O16</f>
        <v>295</v>
      </c>
      <c r="Q17" s="3">
        <f>SUM(P$6:P17)</f>
        <v>2848</v>
      </c>
      <c r="R17" s="6">
        <f t="shared" ref="R17" si="19">(T17-10000000)/10000000*1000000</f>
        <v>13.4</v>
      </c>
      <c r="S17" s="5">
        <f t="shared" ref="S17" si="20">R17-R16</f>
        <v>0.60000000000000142</v>
      </c>
      <c r="T17" s="5">
        <v>10000134</v>
      </c>
      <c r="U17" s="4">
        <v>49</v>
      </c>
      <c r="V17" s="17">
        <f t="shared" ca="1" si="5"/>
        <v>10000144.432128821</v>
      </c>
      <c r="W17" s="17">
        <f t="shared" ca="1" si="6"/>
        <v>10000100.045226276</v>
      </c>
      <c r="X17" s="17" cm="1">
        <f t="array" aca="1" ref="X17" ca="1">$V17+ABS(_xlfn.T.INV(0.025,df_PN010014))*(Syx_PN010014*SQRT(1+1/n_PN010014+($Q17-XBar_PN010014)^2/SSx_PN010014))</f>
        <v>10000188.819031365</v>
      </c>
    </row>
    <row r="18" spans="1:24" x14ac:dyDescent="0.35">
      <c r="A18" s="7">
        <v>44763</v>
      </c>
      <c r="B18" s="3">
        <f t="shared" si="9"/>
        <v>213</v>
      </c>
      <c r="C18" s="3">
        <f>SUM(B$6:B18)</f>
        <v>3368</v>
      </c>
      <c r="D18" s="6">
        <f t="shared" si="0"/>
        <v>11.8</v>
      </c>
      <c r="E18" s="5">
        <f t="shared" si="7"/>
        <v>0.19999999999999929</v>
      </c>
      <c r="F18" s="5">
        <v>10000118</v>
      </c>
      <c r="G18" s="4">
        <f>0.0000049*10000000</f>
        <v>49</v>
      </c>
      <c r="H18" s="17">
        <f t="shared" ca="1" si="1"/>
        <v>10000128.834197458</v>
      </c>
      <c r="I18" s="17">
        <f t="shared" ca="1" si="2"/>
        <v>10000034.683556048</v>
      </c>
      <c r="J18" s="17">
        <f t="shared" ca="1" si="3"/>
        <v>10000222.984838868</v>
      </c>
      <c r="K18" s="4"/>
      <c r="L18" s="4"/>
      <c r="M18" s="4"/>
      <c r="O18" s="7"/>
      <c r="P18" s="3"/>
      <c r="Q18" s="3"/>
      <c r="R18" s="6"/>
      <c r="S18" s="5"/>
      <c r="T18" s="2"/>
      <c r="U18" s="4"/>
    </row>
    <row r="19" spans="1:24" x14ac:dyDescent="0.35">
      <c r="A19" s="7">
        <v>44968</v>
      </c>
      <c r="B19" s="3">
        <f t="shared" si="9"/>
        <v>205</v>
      </c>
      <c r="C19" s="3">
        <f>SUM(B$6:B19)</f>
        <v>3573</v>
      </c>
      <c r="D19" s="6">
        <f t="shared" ref="D19:D20" si="21">(F19-10000000)/10000000*1000000</f>
        <v>14.5</v>
      </c>
      <c r="E19" s="5">
        <f t="shared" si="7"/>
        <v>2.6999999999999993</v>
      </c>
      <c r="F19" s="5">
        <v>10000145</v>
      </c>
      <c r="G19" s="4">
        <f t="shared" ref="G19:G23" si="22">0.0000049*10000000</f>
        <v>49</v>
      </c>
      <c r="H19" s="17">
        <f t="shared" ca="1" si="1"/>
        <v>10000126.403873941</v>
      </c>
      <c r="I19" s="17">
        <f t="shared" ca="1" si="2"/>
        <v>10000031.600130927</v>
      </c>
      <c r="J19" s="17">
        <f t="shared" ca="1" si="3"/>
        <v>10000221.207616955</v>
      </c>
      <c r="K19" s="4"/>
      <c r="L19" s="4"/>
      <c r="M19" s="4"/>
      <c r="O19" s="7"/>
      <c r="P19" s="3"/>
      <c r="Q19" s="3"/>
      <c r="R19" s="6"/>
      <c r="S19" s="5"/>
      <c r="T19" s="2"/>
      <c r="U19" s="4"/>
    </row>
    <row r="20" spans="1:24" x14ac:dyDescent="0.35">
      <c r="A20" s="7">
        <v>45208</v>
      </c>
      <c r="B20" s="3">
        <f t="shared" si="9"/>
        <v>240</v>
      </c>
      <c r="C20" s="3">
        <f>SUM(B$6:B20)</f>
        <v>3813</v>
      </c>
      <c r="D20" s="6">
        <f t="shared" si="21"/>
        <v>13.9</v>
      </c>
      <c r="E20" s="5">
        <f t="shared" si="7"/>
        <v>-0.59999999999999964</v>
      </c>
      <c r="F20" s="5">
        <v>10000139</v>
      </c>
      <c r="G20" s="4">
        <f t="shared" si="22"/>
        <v>49</v>
      </c>
      <c r="H20" s="17">
        <f t="shared" ca="1" si="1"/>
        <v>10000123.558617141</v>
      </c>
      <c r="I20" s="17">
        <f t="shared" ca="1" si="2"/>
        <v>10000027.885447877</v>
      </c>
      <c r="J20" s="17">
        <f t="shared" ca="1" si="3"/>
        <v>10000219.231786406</v>
      </c>
      <c r="K20" s="4"/>
      <c r="L20" s="4"/>
      <c r="M20" s="4"/>
      <c r="O20" s="7"/>
      <c r="P20" s="3"/>
      <c r="Q20" s="3"/>
      <c r="R20" s="6"/>
      <c r="S20" s="5"/>
      <c r="T20" s="2"/>
      <c r="U20" s="4"/>
    </row>
    <row r="21" spans="1:24" x14ac:dyDescent="0.35">
      <c r="A21" s="7">
        <v>45519</v>
      </c>
      <c r="B21" s="3">
        <f t="shared" ref="B21" si="23">A21-A20</f>
        <v>311</v>
      </c>
      <c r="C21" s="3">
        <f>SUM(B$6:B21)</f>
        <v>4124</v>
      </c>
      <c r="D21" s="6">
        <f t="shared" ref="D21" si="24">(F21-10000000)/10000000*1000000</f>
        <v>11.3</v>
      </c>
      <c r="E21" s="5">
        <f t="shared" ref="E21" si="25">D21-D20</f>
        <v>-2.5999999999999996</v>
      </c>
      <c r="F21" s="5">
        <v>10000113</v>
      </c>
      <c r="G21" s="4">
        <f t="shared" si="22"/>
        <v>49</v>
      </c>
      <c r="H21" s="17">
        <f t="shared" ca="1" si="1"/>
        <v>10000119.871638538</v>
      </c>
      <c r="I21" s="17">
        <f t="shared" ca="1" si="2"/>
        <v>10000022.908472855</v>
      </c>
      <c r="J21" s="17">
        <f t="shared" ca="1" si="3"/>
        <v>10000216.834804222</v>
      </c>
      <c r="K21" s="4"/>
      <c r="L21" s="4"/>
      <c r="M21" s="4"/>
    </row>
    <row r="22" spans="1:24" x14ac:dyDescent="0.35">
      <c r="A22" s="7">
        <v>45726</v>
      </c>
      <c r="B22" s="3">
        <f t="shared" ref="B22" si="26">A22-A21</f>
        <v>207</v>
      </c>
      <c r="C22" s="3">
        <f>SUM(B$6:B22)</f>
        <v>4331</v>
      </c>
      <c r="D22" s="6">
        <f t="shared" ref="D22" si="27">(F22-10000000)/10000000*1000000</f>
        <v>11.8</v>
      </c>
      <c r="E22" s="5">
        <f t="shared" ref="E22" si="28">D22-D21</f>
        <v>0.5</v>
      </c>
      <c r="F22" s="5">
        <v>10000118</v>
      </c>
      <c r="G22" s="4">
        <f t="shared" si="22"/>
        <v>49</v>
      </c>
      <c r="H22" s="17">
        <f t="shared" ca="1" si="1"/>
        <v>10000117.417604549</v>
      </c>
      <c r="I22" s="17">
        <f t="shared" ca="1" si="2"/>
        <v>10000019.496871028</v>
      </c>
      <c r="J22" s="17">
        <f t="shared" ca="1" si="3"/>
        <v>10000215.33833807</v>
      </c>
      <c r="K22" s="4"/>
      <c r="L22" s="4"/>
      <c r="M22" s="4"/>
    </row>
    <row r="23" spans="1:24" x14ac:dyDescent="0.35">
      <c r="A23" s="7">
        <v>46008</v>
      </c>
      <c r="B23" s="3">
        <f t="shared" ref="B23" si="29">A23-A22</f>
        <v>282</v>
      </c>
      <c r="C23" s="3">
        <f>SUM(B$6:B23)</f>
        <v>4613</v>
      </c>
      <c r="D23" s="6">
        <f t="shared" ref="D23" si="30">(F23-10000000)/10000000*1000000</f>
        <v>14.8</v>
      </c>
      <c r="E23" s="5">
        <f t="shared" ref="E23" si="31">D23-D22</f>
        <v>3</v>
      </c>
      <c r="F23" s="5">
        <v>10000148</v>
      </c>
      <c r="G23" s="4">
        <f t="shared" si="22"/>
        <v>49</v>
      </c>
      <c r="H23" s="17">
        <f t="shared" ca="1" si="1"/>
        <v>10000114.07442781</v>
      </c>
      <c r="I23" s="17">
        <f t="shared" ca="1" si="2"/>
        <v>10000014.72664986</v>
      </c>
      <c r="J23" s="17">
        <f t="shared" ca="1" si="3"/>
        <v>10000213.422205759</v>
      </c>
      <c r="K23" s="4"/>
      <c r="L23" s="4"/>
      <c r="M23" s="4"/>
    </row>
    <row r="24" spans="1:24" x14ac:dyDescent="0.35">
      <c r="B24" s="3"/>
    </row>
    <row r="26" spans="1:24" x14ac:dyDescent="0.35">
      <c r="B26" s="3"/>
    </row>
    <row r="27" spans="1:24" x14ac:dyDescent="0.35">
      <c r="B27" s="3"/>
    </row>
    <row r="28" spans="1:24" x14ac:dyDescent="0.35">
      <c r="B28" s="3"/>
    </row>
    <row r="29" spans="1:24" x14ac:dyDescent="0.35">
      <c r="B29" s="3"/>
    </row>
    <row r="1048575" spans="20:20" x14ac:dyDescent="0.35">
      <c r="T1048575" s="2"/>
    </row>
  </sheetData>
  <mergeCells count="4">
    <mergeCell ref="H1:J1"/>
    <mergeCell ref="V1:X1"/>
    <mergeCell ref="L1:M1"/>
    <mergeCell ref="L8:M8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l_x002e_Date xmlns="e9030caa-ab7d-4043-a723-846408bcfa62" xsi:nil="true"/>
    <CalProvider xmlns="e9030caa-ab7d-4043-a723-846408bcfa62" xsi:nil="true"/>
    <Adjusted_x003f_ xmlns="e9030caa-ab7d-4043-a723-846408bcfa62">false</Adjusted_x003f_>
    <ETEs xmlns="e9030caa-ab7d-4043-a723-846408bcfa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545A1E-697A-4E69-B263-B093EBDC5BAF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2.xml><?xml version="1.0" encoding="utf-8"?>
<ds:datastoreItem xmlns:ds="http://schemas.openxmlformats.org/officeDocument/2006/customXml" ds:itemID="{341D2385-BDA9-4814-8249-E52AFD698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87BFB8-3885-4409-BECC-2DC56B054F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10M Ohm</vt:lpstr>
      <vt:lpstr>df_PN010014</vt:lpstr>
      <vt:lpstr>'10M Ohm'!df_PN010015</vt:lpstr>
      <vt:lpstr>n_PN010014</vt:lpstr>
      <vt:lpstr>n_PN010015</vt:lpstr>
      <vt:lpstr>SSx_PN010014</vt:lpstr>
      <vt:lpstr>'10M Ohm'!SSx_PN010015</vt:lpstr>
      <vt:lpstr>Syx_PN010014</vt:lpstr>
      <vt:lpstr>'10M Ohm'!Syx_PN010015</vt:lpstr>
      <vt:lpstr>XBar_PN010014</vt:lpstr>
      <vt:lpstr>'10M Ohm'!XBar_PN010015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2023-11-18T11:58:31Z</dcterms:created>
  <dcterms:modified xsi:type="dcterms:W3CDTF">2026-09-08T00:04:55Z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