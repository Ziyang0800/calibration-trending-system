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yanang\PycharmProjects\WelcomeScreen\"/>
    </mc:Choice>
  </mc:AlternateContent>
  <xr:revisionPtr revIDLastSave="0" documentId="13_ncr:1_{04587BDE-74F2-48B9-B066-42F7D829CA1D}" xr6:coauthVersionLast="47" xr6:coauthVersionMax="47" xr10:uidLastSave="{00000000-0000-0000-0000-000000000000}"/>
  <bookViews>
    <workbookView xWindow="-120" yWindow="-120" windowWidth="38640" windowHeight="15720" tabRatio="500" activeTab="1" xr2:uid="{00000000-000D-0000-FFFF-FFFF00000000}"/>
  </bookViews>
  <sheets>
    <sheet name="0.1 Ohm" sheetId="1" r:id="rId1"/>
    <sheet name="1 Ohm" sheetId="2" r:id="rId2"/>
    <sheet name="Asset_Index" sheetId="3" r:id="rId3"/>
  </sheets>
  <definedNames>
    <definedName name="df_EQ358990">'0.1 Ohm'!$AA$3</definedName>
    <definedName name="df_PN010001" localSheetId="1">'1 Ohm'!$M$3</definedName>
    <definedName name="df_PN010022" localSheetId="1">'1 Ohm'!$M$10</definedName>
    <definedName name="df_PN010034" localSheetId="0">'0.1 Ohm'!$M$10</definedName>
    <definedName name="df_PN010069" localSheetId="0">'0.1 Ohm'!$M$3</definedName>
    <definedName name="Known_xs_EQ358990">OFFSET('0.1 Ohm'!$AE$3,,,COUNTA('0.1 Ohm'!$AE:$AE)-4)</definedName>
    <definedName name="Known_xs_PN010001" localSheetId="1">OFFSET('1 Ohm'!$C$3,,,COUNTA('1 Ohm'!$C:$C)-3)</definedName>
    <definedName name="Known_xs_PN010022" localSheetId="1">OFFSET('1 Ohm'!$Q$3,,,COUNTA('1 Ohm'!$Q:$Q)-3)</definedName>
    <definedName name="known_xs_PN010034" localSheetId="0">OFFSET('0.1 Ohm'!$Q$3,,,COUNTA('0.1 Ohm'!$Q:$Q)-3)</definedName>
    <definedName name="Known_xs_PN010069" localSheetId="0">OFFSET('0.1 Ohm'!$C$3,,,COUNTA('0.1 Ohm'!$C:$C)-3)</definedName>
    <definedName name="Known_ys_EQ358990">OFFSET('0.1 Ohm'!$AH$3,,,COUNTA('0.1 Ohm'!$AH:$AH)-3)</definedName>
    <definedName name="Known_ys_PN010001" localSheetId="1">OFFSET('1 Ohm'!$F$3,,,COUNTA('1 Ohm'!$F:$F)-2)</definedName>
    <definedName name="Known_ys_PN010022" localSheetId="1">OFFSET('1 Ohm'!$T$3,,,COUNTA('1 Ohm'!$T:$T)-2)</definedName>
    <definedName name="known_ys_PN010034" localSheetId="0">OFFSET('0.1 Ohm'!$T$3,,,COUNTA('0.1 Ohm'!$T:$T)-2)</definedName>
    <definedName name="known_ys_PN010069" localSheetId="0">OFFSET('0.1 Ohm'!$F$3,,,COUNTA('0.1 Ohm'!$F:$F)-2)</definedName>
    <definedName name="n_EQ358990">'0.1 Ohm'!$AA$2</definedName>
    <definedName name="n_PN010001" localSheetId="1">'1 Ohm'!$M$2</definedName>
    <definedName name="n_PN010022" localSheetId="1">'1 Ohm'!$M$9</definedName>
    <definedName name="n_PN010034" localSheetId="0">'0.1 Ohm'!$M$9</definedName>
    <definedName name="n_PN010069" localSheetId="0">'0.1 Ohm'!$M$2</definedName>
    <definedName name="PI_L_PN010001" localSheetId="1">OFFSET('1 Ohm'!$I$3,,,COUNTA('1 Ohm'!$I:$I)-1)</definedName>
    <definedName name="PI_L_PN010022" localSheetId="1">OFFSET('1 Ohm'!$W$3,,,COUNTA('1 Ohm'!$W:$W)-1)</definedName>
    <definedName name="PI_L_PN010034" localSheetId="0">OFFSET('0.1 Ohm'!$W$3,,,COUNTA('0.1 Ohm'!$W:$W)-1)</definedName>
    <definedName name="PI_L_PN010069" localSheetId="0">OFFSET('0.1 Ohm'!$I$3,,,COUNTA('0.1 Ohm'!$I:$I)-1)</definedName>
    <definedName name="PI_U_PN010001" localSheetId="1">OFFSET('1 Ohm'!$J$3,,,COUNTA('1 Ohm'!$J:$J)-1)</definedName>
    <definedName name="PI_U_PN010022" localSheetId="1">OFFSET('1 Ohm'!$X$3,,,COUNTA('1 Ohm'!$X:$X)-1)</definedName>
    <definedName name="PI_U_PN010034" localSheetId="0">OFFSET('0.1 Ohm'!$X$3,,,COUNTA('0.1 Ohm'!$X:$X)-1)</definedName>
    <definedName name="PI_U_PN010069" localSheetId="0">OFFSET('0.1 Ohm'!$J$3,,,COUNTA('0.1 Ohm'!$J:$J)-1)</definedName>
    <definedName name="Predicted_PN010001" localSheetId="1">OFFSET('1 Ohm'!$H$3,,,COUNTA('1 Ohm'!$H:$H)-2)</definedName>
    <definedName name="Predicted_PN010022" localSheetId="1">OFFSET('1 Ohm'!$V$3,,,COUNTA('1 Ohm'!$V:$V)-2)</definedName>
    <definedName name="Predicted_PN010034" localSheetId="0">OFFSET('0.1 Ohm'!$V$3,,,COUNTA('0.1 Ohm'!$V:$V)-2)</definedName>
    <definedName name="Predicted_PN010069" localSheetId="0">OFFSET('0.1 Ohm'!$H$3,,,COUNTA('0.1 Ohm'!$H:$H)-2)</definedName>
    <definedName name="SSx_EQ358990">'0.1 Ohm'!$AA$6</definedName>
    <definedName name="SSx_PN010001" localSheetId="1">'1 Ohm'!$M$6</definedName>
    <definedName name="SSx_PN010022" localSheetId="1">'1 Ohm'!$M$13</definedName>
    <definedName name="SSx_PN010034" localSheetId="0">'0.1 Ohm'!$M$13</definedName>
    <definedName name="SSx_PN010069" localSheetId="0">'0.1 Ohm'!$M$6</definedName>
    <definedName name="Syx_EQ358990">'0.1 Ohm'!$AA$5</definedName>
    <definedName name="Syx_PN010001" localSheetId="1">'1 Ohm'!$M$5</definedName>
    <definedName name="Syx_PN010022" localSheetId="1">'1 Ohm'!$M$12</definedName>
    <definedName name="Syx_PN010034" localSheetId="0">'0.1 Ohm'!$M$12</definedName>
    <definedName name="Syx_PN010069" localSheetId="0">'0.1 Ohm'!$M$5</definedName>
    <definedName name="XBar_EQ358990">'0.1 Ohm'!$AA$4</definedName>
    <definedName name="XBar_PN010001" localSheetId="1">'1 Ohm'!$M$4</definedName>
    <definedName name="XBar_PN010022" localSheetId="1">'1 Ohm'!$M$11</definedName>
    <definedName name="XBar_PN010034" localSheetId="0">'0.1 Ohm'!$M$11</definedName>
    <definedName name="XBar_PN010069" localSheetId="0">'0.1 Ohm'!$M$4</definedName>
    <definedName name="XChart_PN010022">OFFSET('1 Ohm'!$Q$3,,,COUNTA('1 Ohm'!$Q:$Q)-2)</definedName>
    <definedName name="YChart_PN010022">OFFSET('1 Ohm'!$T$3,,,COUNTA('1 Ohm'!$T:$T)-1)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6" i="1" l="1"/>
  <c r="AF26" i="1"/>
  <c r="AD26" i="1"/>
  <c r="AI25" i="1"/>
  <c r="AF25" i="1"/>
  <c r="AD25" i="1"/>
  <c r="AI24" i="1"/>
  <c r="AF24" i="1"/>
  <c r="AD24" i="1"/>
  <c r="AI23" i="1"/>
  <c r="AF23" i="1"/>
  <c r="AD23" i="1"/>
  <c r="AI22" i="1"/>
  <c r="AF22" i="1"/>
  <c r="AG22" i="1" s="1"/>
  <c r="AD22" i="1"/>
  <c r="AI21" i="1"/>
  <c r="AF21" i="1"/>
  <c r="AD21" i="1"/>
  <c r="AI20" i="1"/>
  <c r="AF20" i="1"/>
  <c r="AG21" i="1" s="1"/>
  <c r="AD20" i="1"/>
  <c r="AI19" i="1"/>
  <c r="AF19" i="1"/>
  <c r="AD19" i="1"/>
  <c r="AI18" i="1"/>
  <c r="AF18" i="1"/>
  <c r="AD18" i="1"/>
  <c r="AI17" i="1"/>
  <c r="AF17" i="1"/>
  <c r="AD17" i="1"/>
  <c r="AI16" i="1"/>
  <c r="AF16" i="1"/>
  <c r="AD16" i="1"/>
  <c r="AI15" i="1"/>
  <c r="AF15" i="1"/>
  <c r="AD15" i="1"/>
  <c r="AI14" i="1"/>
  <c r="AF14" i="1"/>
  <c r="AD14" i="1"/>
  <c r="R14" i="1"/>
  <c r="P14" i="1"/>
  <c r="AI13" i="1"/>
  <c r="AF13" i="1"/>
  <c r="AD13" i="1"/>
  <c r="R13" i="1"/>
  <c r="P13" i="1"/>
  <c r="AI12" i="1"/>
  <c r="AF12" i="1"/>
  <c r="AD12" i="1"/>
  <c r="R12" i="1"/>
  <c r="P12" i="1"/>
  <c r="D12" i="1"/>
  <c r="B12" i="1"/>
  <c r="AI11" i="1"/>
  <c r="AF11" i="1"/>
  <c r="AG11" i="1" s="1"/>
  <c r="AD11" i="1"/>
  <c r="R11" i="1"/>
  <c r="P11" i="1"/>
  <c r="D11" i="1"/>
  <c r="B11" i="1"/>
  <c r="AI10" i="1"/>
  <c r="AF10" i="1"/>
  <c r="AD10" i="1"/>
  <c r="R10" i="1"/>
  <c r="S10" i="1" s="1"/>
  <c r="P10" i="1"/>
  <c r="M10" i="1" a="1"/>
  <c r="M10" i="1" s="1"/>
  <c r="D10" i="1"/>
  <c r="E10" i="1" s="1"/>
  <c r="B10" i="1"/>
  <c r="AI9" i="1"/>
  <c r="AF9" i="1"/>
  <c r="AG9" i="1" s="1"/>
  <c r="AD9" i="1"/>
  <c r="R9" i="1"/>
  <c r="P9" i="1"/>
  <c r="M9" i="1"/>
  <c r="D9" i="1"/>
  <c r="B9" i="1"/>
  <c r="AI8" i="1"/>
  <c r="AF8" i="1"/>
  <c r="AG8" i="1" s="1"/>
  <c r="AD8" i="1"/>
  <c r="R8" i="1"/>
  <c r="S8" i="1" s="1"/>
  <c r="P8" i="1"/>
  <c r="D8" i="1"/>
  <c r="E8" i="1" s="1"/>
  <c r="B8" i="1"/>
  <c r="AI7" i="1"/>
  <c r="AF7" i="1"/>
  <c r="AD7" i="1"/>
  <c r="R7" i="1"/>
  <c r="P7" i="1"/>
  <c r="D7" i="1"/>
  <c r="B7" i="1"/>
  <c r="AI6" i="1"/>
  <c r="AF6" i="1"/>
  <c r="AG6" i="1" s="1"/>
  <c r="AD6" i="1"/>
  <c r="R6" i="1"/>
  <c r="P6" i="1"/>
  <c r="D6" i="1"/>
  <c r="B6" i="1"/>
  <c r="AI5" i="1"/>
  <c r="AF5" i="1"/>
  <c r="AD5" i="1"/>
  <c r="R5" i="1"/>
  <c r="P5" i="1"/>
  <c r="D5" i="1"/>
  <c r="B5" i="1"/>
  <c r="C5" i="1" s="1"/>
  <c r="AI4" i="1"/>
  <c r="AF4" i="1"/>
  <c r="AG4" i="1" s="1"/>
  <c r="AD4" i="1"/>
  <c r="R4" i="1"/>
  <c r="S4" i="1" s="1"/>
  <c r="P4" i="1"/>
  <c r="Q4" i="1" s="1"/>
  <c r="D4" i="1"/>
  <c r="B4" i="1"/>
  <c r="AI3" i="1"/>
  <c r="AF3" i="1"/>
  <c r="R3" i="1"/>
  <c r="D3" i="1"/>
  <c r="AA2" i="1"/>
  <c r="AA3" i="1" s="1"/>
  <c r="M2" i="1"/>
  <c r="M3" i="1" s="1" a="1"/>
  <c r="M3" i="1" s="1"/>
  <c r="D24" i="2"/>
  <c r="B24" i="2"/>
  <c r="D23" i="2"/>
  <c r="B23" i="2"/>
  <c r="D22" i="2"/>
  <c r="B22" i="2"/>
  <c r="D21" i="2"/>
  <c r="B21" i="2"/>
  <c r="D20" i="2"/>
  <c r="B20" i="2"/>
  <c r="D19" i="2"/>
  <c r="B19" i="2"/>
  <c r="D18" i="2"/>
  <c r="B18" i="2"/>
  <c r="R17" i="2"/>
  <c r="P17" i="2"/>
  <c r="D17" i="2"/>
  <c r="B17" i="2"/>
  <c r="R16" i="2"/>
  <c r="P16" i="2"/>
  <c r="D16" i="2"/>
  <c r="B16" i="2"/>
  <c r="R15" i="2"/>
  <c r="P15" i="2"/>
  <c r="D15" i="2"/>
  <c r="B15" i="2"/>
  <c r="R14" i="2"/>
  <c r="P14" i="2"/>
  <c r="D14" i="2"/>
  <c r="B14" i="2"/>
  <c r="R13" i="2"/>
  <c r="P13" i="2"/>
  <c r="D13" i="2"/>
  <c r="B13" i="2"/>
  <c r="R12" i="2"/>
  <c r="P12" i="2"/>
  <c r="D12" i="2"/>
  <c r="B12" i="2"/>
  <c r="R11" i="2"/>
  <c r="S12" i="2" s="1"/>
  <c r="P11" i="2"/>
  <c r="D11" i="2"/>
  <c r="B11" i="2"/>
  <c r="R10" i="2"/>
  <c r="P10" i="2"/>
  <c r="D10" i="2"/>
  <c r="B10" i="2"/>
  <c r="R9" i="2"/>
  <c r="P9" i="2"/>
  <c r="M9" i="2"/>
  <c r="M10" i="2" s="1"/>
  <c r="D9" i="2"/>
  <c r="B9" i="2"/>
  <c r="R8" i="2"/>
  <c r="S9" i="2" s="1"/>
  <c r="P8" i="2"/>
  <c r="D8" i="2"/>
  <c r="B8" i="2"/>
  <c r="R7" i="2"/>
  <c r="P7" i="2"/>
  <c r="D7" i="2"/>
  <c r="B7" i="2"/>
  <c r="R6" i="2"/>
  <c r="P6" i="2"/>
  <c r="D6" i="2"/>
  <c r="B6" i="2"/>
  <c r="R5" i="2"/>
  <c r="P5" i="2"/>
  <c r="D5" i="2"/>
  <c r="B5" i="2"/>
  <c r="R4" i="2"/>
  <c r="P4" i="2"/>
  <c r="Q8" i="2" s="1"/>
  <c r="D4" i="2"/>
  <c r="B4" i="2"/>
  <c r="R3" i="2"/>
  <c r="S4" i="2" s="1"/>
  <c r="D3" i="2"/>
  <c r="M2" i="2"/>
  <c r="E5" i="2" l="1"/>
  <c r="E15" i="2"/>
  <c r="AG15" i="1"/>
  <c r="S5" i="2"/>
  <c r="E5" i="1"/>
  <c r="E11" i="2"/>
  <c r="Q7" i="2"/>
  <c r="Q5" i="1"/>
  <c r="E9" i="1"/>
  <c r="E16" i="2"/>
  <c r="E19" i="2"/>
  <c r="AG23" i="1"/>
  <c r="AG19" i="1"/>
  <c r="S10" i="2"/>
  <c r="E8" i="2"/>
  <c r="S13" i="1"/>
  <c r="AE15" i="1"/>
  <c r="AG14" i="1"/>
  <c r="S12" i="1"/>
  <c r="S16" i="2"/>
  <c r="S13" i="2"/>
  <c r="S5" i="1"/>
  <c r="E4" i="2"/>
  <c r="E17" i="2"/>
  <c r="E14" i="2"/>
  <c r="AE22" i="1"/>
  <c r="AE9" i="1"/>
  <c r="E11" i="1"/>
  <c r="AE6" i="1"/>
  <c r="E21" i="2"/>
  <c r="Q11" i="1"/>
  <c r="AG20" i="1"/>
  <c r="C12" i="2"/>
  <c r="S14" i="2"/>
  <c r="S6" i="2"/>
  <c r="Q14" i="2"/>
  <c r="E12" i="2"/>
  <c r="E4" i="1"/>
  <c r="S7" i="1"/>
  <c r="E6" i="2"/>
  <c r="S17" i="2"/>
  <c r="C10" i="1"/>
  <c r="C9" i="1"/>
  <c r="Q11" i="2"/>
  <c r="C10" i="2"/>
  <c r="Q9" i="1"/>
  <c r="E12" i="1"/>
  <c r="S14" i="1"/>
  <c r="AG17" i="1"/>
  <c r="AG25" i="1"/>
  <c r="C6" i="2"/>
  <c r="Q6" i="2"/>
  <c r="E7" i="2"/>
  <c r="E18" i="2"/>
  <c r="AG7" i="1"/>
  <c r="E23" i="2"/>
  <c r="AG13" i="1"/>
  <c r="E6" i="1"/>
  <c r="AG10" i="1"/>
  <c r="S9" i="1"/>
  <c r="AG26" i="1"/>
  <c r="E9" i="2"/>
  <c r="S11" i="2"/>
  <c r="AG16" i="1"/>
  <c r="E10" i="2"/>
  <c r="S15" i="2"/>
  <c r="C5" i="2"/>
  <c r="S7" i="2"/>
  <c r="E13" i="2"/>
  <c r="AE25" i="1"/>
  <c r="S6" i="1"/>
  <c r="C9" i="2"/>
  <c r="E20" i="2"/>
  <c r="E7" i="1"/>
  <c r="Q12" i="1"/>
  <c r="C4" i="2"/>
  <c r="Q12" i="2"/>
  <c r="C6" i="1"/>
  <c r="Q8" i="1"/>
  <c r="AE10" i="1"/>
  <c r="E22" i="2"/>
  <c r="E24" i="2"/>
  <c r="Q13" i="2"/>
  <c r="Q15" i="2"/>
  <c r="Q16" i="2"/>
  <c r="Q17" i="2"/>
  <c r="C19" i="2"/>
  <c r="C21" i="2"/>
  <c r="C23" i="2"/>
  <c r="Q13" i="1"/>
  <c r="AG18" i="1"/>
  <c r="AE20" i="1"/>
  <c r="Q14" i="1"/>
  <c r="C12" i="1"/>
  <c r="C7" i="2"/>
  <c r="S11" i="1"/>
  <c r="AE17" i="1"/>
  <c r="AE24" i="1"/>
  <c r="C11" i="2"/>
  <c r="Q7" i="1"/>
  <c r="C4" i="1"/>
  <c r="AE5" i="1"/>
  <c r="C8" i="1"/>
  <c r="AE12" i="1"/>
  <c r="AE8" i="1"/>
  <c r="Q10" i="1"/>
  <c r="AE19" i="1"/>
  <c r="AG24" i="1"/>
  <c r="AE26" i="1"/>
  <c r="C8" i="2"/>
  <c r="C13" i="2"/>
  <c r="M3" i="2"/>
  <c r="Q4" i="2"/>
  <c r="C14" i="2"/>
  <c r="C15" i="2"/>
  <c r="C16" i="2"/>
  <c r="C17" i="2"/>
  <c r="C18" i="2"/>
  <c r="C20" i="2"/>
  <c r="C22" i="2"/>
  <c r="C24" i="2"/>
  <c r="AG5" i="1"/>
  <c r="C11" i="1"/>
  <c r="AG12" i="1"/>
  <c r="AE13" i="1"/>
  <c r="Q5" i="2"/>
  <c r="AE4" i="1"/>
  <c r="Q6" i="1"/>
  <c r="AE14" i="1"/>
  <c r="AE21" i="1"/>
  <c r="AE11" i="1"/>
  <c r="AE16" i="1"/>
  <c r="AE23" i="1"/>
  <c r="Q9" i="2"/>
  <c r="C7" i="1"/>
  <c r="S8" i="2"/>
  <c r="Q10" i="2"/>
  <c r="AE7" i="1"/>
  <c r="AE18" i="1"/>
  <c r="V9" i="1" l="1"/>
  <c r="M5" i="2"/>
  <c r="V3" i="1"/>
  <c r="M6" i="2"/>
  <c r="H10" i="1"/>
  <c r="H11" i="2"/>
  <c r="I11" i="2" s="1"/>
  <c r="AJ18" i="1"/>
  <c r="V4" i="1"/>
  <c r="AJ15" i="1"/>
  <c r="M13" i="1"/>
  <c r="H19" i="2"/>
  <c r="V10" i="2"/>
  <c r="W10" i="2" s="1"/>
  <c r="H11" i="1"/>
  <c r="M6" i="1"/>
  <c r="V11" i="2"/>
  <c r="V14" i="1"/>
  <c r="AJ13" i="1"/>
  <c r="AJ24" i="1"/>
  <c r="V17" i="2"/>
  <c r="H9" i="2"/>
  <c r="H5" i="1"/>
  <c r="AJ7" i="1"/>
  <c r="AJ17" i="1"/>
  <c r="V16" i="2"/>
  <c r="AJ25" i="1"/>
  <c r="H6" i="2"/>
  <c r="H8" i="2"/>
  <c r="V7" i="2"/>
  <c r="V9" i="2"/>
  <c r="AJ10" i="1"/>
  <c r="V8" i="2"/>
  <c r="M12" i="2"/>
  <c r="AJ23" i="1"/>
  <c r="AJ11" i="1"/>
  <c r="H10" i="2"/>
  <c r="H13" i="2"/>
  <c r="H24" i="2"/>
  <c r="V6" i="2"/>
  <c r="H12" i="2"/>
  <c r="H17" i="2"/>
  <c r="V13" i="1"/>
  <c r="H6" i="1"/>
  <c r="AJ22" i="1"/>
  <c r="V14" i="2"/>
  <c r="AJ16" i="1"/>
  <c r="AJ21" i="1"/>
  <c r="V12" i="2"/>
  <c r="H9" i="1"/>
  <c r="V11" i="1"/>
  <c r="V15" i="2"/>
  <c r="AJ26" i="1"/>
  <c r="H12" i="1"/>
  <c r="H18" i="2"/>
  <c r="H16" i="2"/>
  <c r="H15" i="2"/>
  <c r="H14" i="2"/>
  <c r="H5" i="2"/>
  <c r="H4" i="2"/>
  <c r="M4" i="2"/>
  <c r="H3" i="2"/>
  <c r="V5" i="1"/>
  <c r="AJ9" i="1"/>
  <c r="V13" i="2"/>
  <c r="AJ19" i="1"/>
  <c r="AJ20" i="1"/>
  <c r="V8" i="1"/>
  <c r="AJ14" i="1"/>
  <c r="M11" i="1"/>
  <c r="M5" i="1"/>
  <c r="H3" i="1"/>
  <c r="H4" i="1"/>
  <c r="M4" i="1"/>
  <c r="H23" i="2"/>
  <c r="V12" i="1"/>
  <c r="H7" i="1"/>
  <c r="H7" i="2"/>
  <c r="H22" i="2"/>
  <c r="H20" i="2"/>
  <c r="V10" i="1"/>
  <c r="AJ8" i="1"/>
  <c r="AJ12" i="1"/>
  <c r="H8" i="1"/>
  <c r="V6" i="1"/>
  <c r="AJ5" i="1"/>
  <c r="AA4" i="1"/>
  <c r="AA5" i="1"/>
  <c r="AJ3" i="1"/>
  <c r="AA6" i="1"/>
  <c r="AJ4" i="1"/>
  <c r="V5" i="2"/>
  <c r="M11" i="2"/>
  <c r="V4" i="2"/>
  <c r="M13" i="2"/>
  <c r="V3" i="2"/>
  <c r="V7" i="1"/>
  <c r="H21" i="2"/>
  <c r="M12" i="1"/>
  <c r="AJ6" i="1"/>
  <c r="X11" i="2" l="1"/>
  <c r="X4" i="1"/>
  <c r="J10" i="1"/>
  <c r="I10" i="1" a="1"/>
  <c r="I10" i="1" s="1"/>
  <c r="I11" i="1" a="1"/>
  <c r="I11" i="1" s="1"/>
  <c r="X10" i="2"/>
  <c r="AK18" i="1"/>
  <c r="J11" i="1"/>
  <c r="J11" i="2"/>
  <c r="W14" i="1"/>
  <c r="AL24" i="1"/>
  <c r="AK24" i="1"/>
  <c r="J8" i="2"/>
  <c r="I8" i="2"/>
  <c r="X17" i="2"/>
  <c r="W17" i="2"/>
  <c r="J4" i="1"/>
  <c r="I4" i="1" a="1"/>
  <c r="I4" i="1" s="1"/>
  <c r="AL5" i="1"/>
  <c r="AK5" i="1"/>
  <c r="W3" i="1"/>
  <c r="X6" i="1"/>
  <c r="W6" i="1"/>
  <c r="J5" i="2"/>
  <c r="I5" i="2"/>
  <c r="AL21" i="1"/>
  <c r="AK21" i="1"/>
  <c r="X3" i="1"/>
  <c r="X14" i="1"/>
  <c r="AL18" i="1"/>
  <c r="J3" i="1"/>
  <c r="I3" i="1" a="1"/>
  <c r="I3" i="1" s="1"/>
  <c r="AL16" i="1"/>
  <c r="AK16" i="1"/>
  <c r="J10" i="2"/>
  <c r="I10" i="2"/>
  <c r="AK15" i="1"/>
  <c r="J12" i="2"/>
  <c r="I12" i="2"/>
  <c r="X5" i="1"/>
  <c r="W5" i="1"/>
  <c r="X11" i="1"/>
  <c r="W11" i="1"/>
  <c r="J13" i="2"/>
  <c r="I13" i="2"/>
  <c r="J21" i="2"/>
  <c r="I21" i="2"/>
  <c r="AL12" i="1"/>
  <c r="AK12" i="1"/>
  <c r="AL14" i="1"/>
  <c r="AK14" i="1"/>
  <c r="I14" i="2"/>
  <c r="J14" i="2"/>
  <c r="W9" i="1"/>
  <c r="AL11" i="1"/>
  <c r="AK11" i="1"/>
  <c r="AL25" i="1"/>
  <c r="AK25" i="1"/>
  <c r="AL15" i="1"/>
  <c r="X6" i="2"/>
  <c r="W6" i="2"/>
  <c r="J9" i="1"/>
  <c r="I9" i="1" a="1"/>
  <c r="I9" i="1" s="1"/>
  <c r="AL6" i="1"/>
  <c r="AK6" i="1"/>
  <c r="AK8" i="1"/>
  <c r="AL8" i="1"/>
  <c r="AL17" i="1"/>
  <c r="AK17" i="1"/>
  <c r="J23" i="2"/>
  <c r="I23" i="2"/>
  <c r="J3" i="2"/>
  <c r="I3" i="2"/>
  <c r="J6" i="2"/>
  <c r="I6" i="2"/>
  <c r="W3" i="2"/>
  <c r="X3" i="2"/>
  <c r="X9" i="1"/>
  <c r="AL20" i="1"/>
  <c r="AK20" i="1"/>
  <c r="I20" i="2"/>
  <c r="J20" i="2"/>
  <c r="AL19" i="1"/>
  <c r="AK19" i="1"/>
  <c r="I18" i="2"/>
  <c r="J18" i="2"/>
  <c r="AL22" i="1"/>
  <c r="AK22" i="1"/>
  <c r="X8" i="2"/>
  <c r="W8" i="2"/>
  <c r="AL7" i="1"/>
  <c r="AK7" i="1"/>
  <c r="W4" i="1"/>
  <c r="J9" i="2"/>
  <c r="I9" i="2"/>
  <c r="J24" i="2"/>
  <c r="I24" i="2"/>
  <c r="AK13" i="1"/>
  <c r="AL13" i="1"/>
  <c r="I15" i="2"/>
  <c r="J15" i="2"/>
  <c r="X10" i="1"/>
  <c r="W10" i="1"/>
  <c r="J12" i="1"/>
  <c r="I12" i="1" a="1"/>
  <c r="I12" i="1" s="1"/>
  <c r="J6" i="1"/>
  <c r="I6" i="1" a="1"/>
  <c r="I6" i="1" s="1"/>
  <c r="AL10" i="1"/>
  <c r="AK10" i="1"/>
  <c r="I19" i="2"/>
  <c r="X12" i="1"/>
  <c r="W12" i="1"/>
  <c r="AL3" i="1"/>
  <c r="AK3" i="1"/>
  <c r="W12" i="2"/>
  <c r="X12" i="2"/>
  <c r="X8" i="1"/>
  <c r="W8" i="1"/>
  <c r="X16" i="2"/>
  <c r="W16" i="2"/>
  <c r="X14" i="2"/>
  <c r="W14" i="2"/>
  <c r="I22" i="2"/>
  <c r="J22" i="2"/>
  <c r="W5" i="2"/>
  <c r="X5" i="2"/>
  <c r="AL9" i="1"/>
  <c r="AK9" i="1"/>
  <c r="AL26" i="1"/>
  <c r="AK26" i="1"/>
  <c r="X13" i="1"/>
  <c r="W13" i="1"/>
  <c r="X9" i="2"/>
  <c r="W9" i="2"/>
  <c r="J19" i="2"/>
  <c r="W11" i="2"/>
  <c r="J4" i="2"/>
  <c r="I4" i="2"/>
  <c r="J8" i="1"/>
  <c r="I8" i="1" a="1"/>
  <c r="I8" i="1" s="1"/>
  <c r="X7" i="1"/>
  <c r="W7" i="1"/>
  <c r="AL23" i="1"/>
  <c r="AK23" i="1"/>
  <c r="I16" i="2"/>
  <c r="J16" i="2"/>
  <c r="X4" i="2"/>
  <c r="W4" i="2"/>
  <c r="X13" i="2"/>
  <c r="W13" i="2"/>
  <c r="J7" i="2"/>
  <c r="I7" i="2"/>
  <c r="AL4" i="1"/>
  <c r="AK4" i="1"/>
  <c r="J7" i="1"/>
  <c r="I7" i="1" a="1"/>
  <c r="I7" i="1" s="1"/>
  <c r="X15" i="2"/>
  <c r="W15" i="2"/>
  <c r="I17" i="2"/>
  <c r="J17" i="2"/>
  <c r="X7" i="2"/>
  <c r="W7" i="2"/>
  <c r="J5" i="1"/>
  <c r="I5" i="1" a="1"/>
  <c r="I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H26" authorId="0" shapeId="0" xr:uid="{00000000-0006-0000-0000-000001000000}">
      <text>
        <r>
          <rPr>
            <sz val="11"/>
            <color theme="1"/>
            <rFont val="Aptos Narrow"/>
            <family val="2"/>
            <charset val="1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Keep it under review regularly as the sample size is not big enough to establish reliable trend yet</t>
        </r>
      </text>
    </comment>
  </commentList>
</comments>
</file>

<file path=xl/sharedStrings.xml><?xml version="1.0" encoding="utf-8"?>
<sst xmlns="http://schemas.openxmlformats.org/spreadsheetml/2006/main" count="166" uniqueCount="79">
  <si>
    <t>742A-1</t>
  </si>
  <si>
    <t>PN010001</t>
  </si>
  <si>
    <t>Prediction Interval (95%)</t>
  </si>
  <si>
    <t>← PN010001</t>
  </si>
  <si>
    <t>PN010022</t>
  </si>
  <si>
    <t>Date</t>
  </si>
  <si>
    <t>Since Last Cal [Days]</t>
  </si>
  <si>
    <t>Accumulated [Days]</t>
  </si>
  <si>
    <t>Error [PPM]</t>
  </si>
  <si>
    <t>Drifted [PPM]</t>
  </si>
  <si>
    <t>Historical</t>
  </si>
  <si>
    <t>MU (K =2)</t>
  </si>
  <si>
    <t>Prediction</t>
  </si>
  <si>
    <t>Lower</t>
  </si>
  <si>
    <t>Upper</t>
  </si>
  <si>
    <t>n</t>
  </si>
  <si>
    <t>df</t>
  </si>
  <si>
    <t>Mean of X</t>
  </si>
  <si>
    <t>Syx</t>
  </si>
  <si>
    <t>SSx</t>
  </si>
  <si>
    <t>PN010022 →</t>
  </si>
  <si>
    <t>9334A-0.1</t>
  </si>
  <si>
    <t>PN010069</t>
  </si>
  <si>
    <t>← PN010069</t>
  </si>
  <si>
    <t>L&amp;N 4221B</t>
  </si>
  <si>
    <t>PN010034</t>
  </si>
  <si>
    <t>EQ358990 →</t>
  </si>
  <si>
    <t>9334-0.1</t>
  </si>
  <si>
    <t>EQ358990</t>
  </si>
  <si>
    <t>Measured Value</t>
  </si>
  <si>
    <t>PN010034→</t>
  </si>
  <si>
    <t>Serial Number</t>
  </si>
  <si>
    <t>Sheet Name</t>
  </si>
  <si>
    <t>Nominal Value</t>
  </si>
  <si>
    <t>Date Col</t>
  </si>
  <si>
    <t>Since Col</t>
  </si>
  <si>
    <t>Accum Col</t>
  </si>
  <si>
    <t>Error Col</t>
  </si>
  <si>
    <t>Drift Col</t>
  </si>
  <si>
    <t>Measured Col</t>
  </si>
  <si>
    <t>MU Col</t>
  </si>
  <si>
    <t>Pred Col</t>
  </si>
  <si>
    <t>Lower Col</t>
  </si>
  <si>
    <t>Upper Col</t>
  </si>
  <si>
    <t>73137</t>
  </si>
  <si>
    <t>0.1 Ohm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</si>
  <si>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</si>
  <si>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</si>
  <si>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</si>
  <si>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</si>
  <si>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</si>
  <si>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</si>
  <si>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</si>
  <si>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</si>
  <si>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</si>
  <si>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</si>
  <si>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1692418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</si>
  <si>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</si>
  <si>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</si>
  <si>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</si>
  <si>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</si>
  <si>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</si>
  <si>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</si>
  <si>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</si>
  <si>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</si>
  <si>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</si>
  <si>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</si>
  <si>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74076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</si>
  <si>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</si>
  <si>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</si>
  <si>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</si>
  <si>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</si>
  <si>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</si>
  <si>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</si>
  <si>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</si>
  <si>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</si>
  <si>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</si>
  <si>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</si>
  <si>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1 Ohm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</si>
</sst>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0"/>
    <numFmt numFmtId="165" formatCode="0.000000000"/>
    <numFmt numFmtId="166" formatCode="0.0"/>
    <numFmt numFmtId="167" formatCode="0.00000"/>
    <numFmt numFmtId="168" formatCode="0.00000000000"/>
    <numFmt numFmtId="169" formatCode="yyyy\-mm\-dd\ h:mm:ss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scheme val="minor"/>
    </font>
    <font>
      <sz val="9"/>
      <color theme="1"/>
      <name val="Arial"/>
      <family val="2"/>
      <charset val="1"/>
    </font>
    <font>
      <b/>
      <sz val="9"/>
      <color theme="1"/>
      <name val="Arial"/>
      <family val="2"/>
      <charset val="1"/>
    </font>
    <font>
      <b/>
      <sz val="9"/>
      <color theme="0" tint="-4.9989318521683403E-2"/>
      <name val="Arial"/>
      <family val="2"/>
      <charset val="1"/>
    </font>
    <font>
      <b/>
      <sz val="9"/>
      <color theme="0"/>
      <name val="Arial"/>
      <family val="2"/>
      <charset val="1"/>
    </font>
    <font>
      <sz val="9"/>
      <color theme="1"/>
      <name val="Cambria"/>
      <family val="1"/>
      <charset val="1"/>
    </font>
    <font>
      <b/>
      <sz val="9"/>
      <color theme="1"/>
      <name val="Arial"/>
      <family val="2"/>
    </font>
    <font>
      <b/>
      <sz val="9"/>
      <color theme="0" tint="-4.9989318521683403E-2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9"/>
      <color theme="1"/>
      <name val="Cambria"/>
      <family val="1"/>
    </font>
    <font>
      <sz val="9"/>
      <color rgb="FF595959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-0.249977111117893"/>
        <bgColor rgb="FF0066CC"/>
      </patternFill>
    </fill>
    <fill>
      <patternFill patternType="solid">
        <fgColor theme="8" tint="0.79989013336588644"/>
        <bgColor rgb="FFDCEAF7"/>
      </patternFill>
    </fill>
    <fill>
      <patternFill patternType="solid">
        <fgColor theme="7" tint="-0.499984740745262"/>
        <bgColor rgb="FF156082"/>
      </patternFill>
    </fill>
    <fill>
      <patternFill patternType="solid">
        <fgColor theme="1"/>
        <bgColor rgb="FF262626"/>
      </patternFill>
    </fill>
    <fill>
      <patternFill patternType="solid">
        <fgColor rgb="FFFFC000"/>
        <bgColor rgb="FFFF9900"/>
      </patternFill>
    </fill>
    <fill>
      <patternFill patternType="solid">
        <fgColor rgb="FFFFFF99"/>
        <bgColor rgb="FFF2F2F2"/>
      </patternFill>
    </fill>
    <fill>
      <patternFill patternType="solid">
        <fgColor theme="3" tint="0.89989928891872917"/>
        <bgColor rgb="FFF2F2F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89999084444715716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57"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5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1" fontId="6" fillId="0" borderId="1" xfId="0" applyNumberFormat="1" applyFont="1" applyBorder="1" applyAlignment="1">
      <alignment horizontal="center" vertical="center"/>
    </xf>
    <xf numFmtId="0" fontId="0" fillId="5" borderId="0" xfId="0" applyFill="1"/>
    <xf numFmtId="167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7" fillId="10" borderId="1" xfId="1" applyFont="1" applyFill="1" applyBorder="1" applyAlignment="1">
      <alignment horizontal="center" vertical="center"/>
    </xf>
    <xf numFmtId="0" fontId="10" fillId="12" borderId="0" xfId="1" applyFont="1" applyFill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14" borderId="0" xfId="1" applyFont="1" applyFill="1" applyAlignment="1">
      <alignment horizontal="center" vertical="center"/>
    </xf>
    <xf numFmtId="164" fontId="8" fillId="9" borderId="1" xfId="1" applyNumberFormat="1" applyFont="1" applyFill="1" applyBorder="1" applyAlignment="1">
      <alignment horizontal="center" vertical="center"/>
    </xf>
    <xf numFmtId="0" fontId="8" fillId="11" borderId="1" xfId="1" applyFont="1" applyFill="1" applyBorder="1" applyAlignment="1">
      <alignment horizontal="center" vertical="center"/>
    </xf>
    <xf numFmtId="0" fontId="11" fillId="15" borderId="1" xfId="1" applyFont="1" applyFill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164" fontId="10" fillId="14" borderId="0" xfId="1" applyNumberFormat="1" applyFont="1" applyFill="1" applyAlignment="1">
      <alignment horizontal="center" vertical="center"/>
    </xf>
    <xf numFmtId="15" fontId="10" fillId="0" borderId="0" xfId="1" applyNumberFormat="1" applyFont="1" applyAlignment="1">
      <alignment horizontal="center" vertical="center"/>
    </xf>
    <xf numFmtId="1" fontId="10" fillId="0" borderId="0" xfId="1" applyNumberFormat="1" applyFont="1" applyAlignment="1">
      <alignment horizontal="center" vertical="center"/>
    </xf>
    <xf numFmtId="2" fontId="10" fillId="0" borderId="0" xfId="1" applyNumberFormat="1" applyFont="1" applyAlignment="1">
      <alignment horizontal="center" vertical="center"/>
    </xf>
    <xf numFmtId="164" fontId="10" fillId="0" borderId="0" xfId="1" applyNumberFormat="1" applyFont="1" applyAlignment="1">
      <alignment horizontal="center" vertical="center"/>
    </xf>
    <xf numFmtId="11" fontId="10" fillId="0" borderId="0" xfId="1" applyNumberFormat="1" applyFont="1" applyAlignment="1">
      <alignment horizontal="center" vertical="center"/>
    </xf>
    <xf numFmtId="164" fontId="10" fillId="16" borderId="0" xfId="1" applyNumberFormat="1" applyFont="1" applyFill="1" applyAlignment="1">
      <alignment horizontal="center" vertical="center"/>
    </xf>
    <xf numFmtId="166" fontId="10" fillId="0" borderId="0" xfId="1" applyNumberFormat="1" applyFont="1" applyAlignment="1">
      <alignment horizontal="center" vertical="center"/>
    </xf>
    <xf numFmtId="11" fontId="11" fillId="0" borderId="1" xfId="1" applyNumberFormat="1" applyFont="1" applyBorder="1" applyAlignment="1">
      <alignment horizontal="center" vertical="center"/>
    </xf>
    <xf numFmtId="0" fontId="1" fillId="12" borderId="0" xfId="1" applyFill="1"/>
    <xf numFmtId="0" fontId="10" fillId="0" borderId="0" xfId="1" applyFont="1" applyAlignment="1">
      <alignment vertical="center"/>
    </xf>
    <xf numFmtId="164" fontId="10" fillId="0" borderId="0" xfId="1" applyNumberFormat="1" applyFont="1" applyAlignment="1">
      <alignment vertical="center"/>
    </xf>
    <xf numFmtId="0" fontId="1" fillId="0" borderId="0" xfId="1"/>
    <xf numFmtId="164" fontId="12" fillId="0" borderId="0" xfId="1" applyNumberFormat="1" applyFont="1" applyAlignment="1">
      <alignment horizontal="center" vertical="center" readingOrder="1"/>
    </xf>
    <xf numFmtId="2" fontId="13" fillId="0" borderId="0" xfId="1" applyNumberFormat="1" applyFont="1" applyAlignment="1">
      <alignment horizontal="center" vertical="center" readingOrder="1"/>
    </xf>
    <xf numFmtId="11" fontId="12" fillId="0" borderId="0" xfId="1" applyNumberFormat="1" applyFont="1" applyAlignment="1">
      <alignment horizontal="center" vertical="center" readingOrder="1"/>
    </xf>
    <xf numFmtId="0" fontId="12" fillId="0" borderId="0" xfId="1" applyFont="1" applyAlignment="1">
      <alignment horizontal="center" vertical="center" readingOrder="1"/>
    </xf>
    <xf numFmtId="168" fontId="10" fillId="0" borderId="0" xfId="1" applyNumberFormat="1" applyFont="1" applyAlignment="1">
      <alignment horizontal="center" vertical="center"/>
    </xf>
    <xf numFmtId="169" fontId="0" fillId="0" borderId="0" xfId="0" applyNumberFormat="1"/>
    <xf numFmtId="0" fontId="9" fillId="11" borderId="2" xfId="1" applyFont="1" applyFill="1" applyBorder="1" applyAlignment="1">
      <alignment horizontal="center" vertical="center"/>
    </xf>
    <xf numFmtId="0" fontId="0" fillId="0" borderId="2" xfId="0" applyBorder="1"/>
    <xf numFmtId="0" fontId="7" fillId="13" borderId="1" xfId="1" applyFont="1" applyFill="1" applyBorder="1" applyAlignment="1">
      <alignment horizontal="center" vertical="center"/>
    </xf>
    <xf numFmtId="0" fontId="0" fillId="0" borderId="3" xfId="0" applyBorder="1"/>
    <xf numFmtId="0" fontId="5" fillId="4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B77A0"/>
      <rgbColor rgb="FFBFBFBF"/>
      <rgbColor rgb="FF808080"/>
      <rgbColor rgb="FF9999FF"/>
      <rgbColor rgb="FF993366"/>
      <rgbColor rgb="FFF2F2F2"/>
      <rgbColor rgb="FFDCEAF7"/>
      <rgbColor rgb="FF660066"/>
      <rgbColor rgb="FFFF8080"/>
      <rgbColor rgb="FF0066CC"/>
      <rgbColor rgb="FFF2CFEE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ED973"/>
      <rgbColor rgb="FFFFC000"/>
      <rgbColor rgb="FFFF9900"/>
      <rgbColor rgb="FFFF6600"/>
      <rgbColor rgb="FF595959"/>
      <rgbColor rgb="FF969696"/>
      <rgbColor rgb="FF084F6B"/>
      <rgbColor rgb="FF339966"/>
      <rgbColor rgb="FF003300"/>
      <rgbColor rgb="FF333300"/>
      <rgbColor rgb="FF993300"/>
      <rgbColor rgb="FF993366"/>
      <rgbColor rgb="FF333399"/>
      <rgbColor rgb="FF26262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lang="en-GB" sz="1400" b="1" strike="noStrike" spc="97">
                <a:solidFill>
                  <a:srgbClr val="F2F2F2"/>
                </a:solidFill>
                <a:latin typeface="Aptos Narrow"/>
              </a:defRPr>
            </a:pPr>
            <a:r>
              <a:rPr lang="en-GB" sz="1400" b="1" strike="noStrike" spc="97">
                <a:solidFill>
                  <a:srgbClr val="F2F2F2"/>
                </a:solidFill>
                <a:latin typeface="Aptos Narrow"/>
              </a:rPr>
              <a:t>PN010069 Historical vs Prediction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'0.1 Ohm'!$F$2</c:f>
              <c:strCache>
                <c:ptCount val="1"/>
                <c:pt idx="0">
                  <c:v>Measured Value</c:v>
                </c:pt>
              </c:strCache>
            </c:strRef>
          </c:tx>
          <c:spPr>
            <a:ln w="25560">
              <a:noFill/>
              <a:prstDash val="solid"/>
            </a:ln>
          </c:spPr>
          <c:marker>
            <c:symbol val="circle"/>
            <c:size val="6"/>
            <c:spPr>
              <a:solidFill>
                <a:srgbClr val="156082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Ohm'!$C$3:$C$11</c:f>
              <c:numCache>
                <c:formatCode>0</c:formatCode>
                <c:ptCount val="9"/>
                <c:pt idx="0">
                  <c:v>0</c:v>
                </c:pt>
                <c:pt idx="1">
                  <c:v>351</c:v>
                </c:pt>
                <c:pt idx="2">
                  <c:v>579</c:v>
                </c:pt>
                <c:pt idx="3">
                  <c:v>799</c:v>
                </c:pt>
                <c:pt idx="4">
                  <c:v>997</c:v>
                </c:pt>
                <c:pt idx="5">
                  <c:v>1237</c:v>
                </c:pt>
                <c:pt idx="6">
                  <c:v>1549</c:v>
                </c:pt>
                <c:pt idx="7">
                  <c:v>1755</c:v>
                </c:pt>
                <c:pt idx="8">
                  <c:v>2037</c:v>
                </c:pt>
              </c:numCache>
            </c:numRef>
          </c:xVal>
          <c:yVal>
            <c:numRef>
              <c:f>'0.1 Ohm'!$F$3:$F$11</c:f>
              <c:numCache>
                <c:formatCode>0.000000000</c:formatCode>
                <c:ptCount val="9"/>
                <c:pt idx="0">
                  <c:v>0.100000334</c:v>
                </c:pt>
                <c:pt idx="1">
                  <c:v>0.100000403</c:v>
                </c:pt>
                <c:pt idx="2">
                  <c:v>0.10000039300000001</c:v>
                </c:pt>
                <c:pt idx="3">
                  <c:v>0.10000064</c:v>
                </c:pt>
                <c:pt idx="4">
                  <c:v>0.100000451</c:v>
                </c:pt>
                <c:pt idx="5">
                  <c:v>0.10000065299999999</c:v>
                </c:pt>
                <c:pt idx="6">
                  <c:v>0.10000055400000001</c:v>
                </c:pt>
                <c:pt idx="7">
                  <c:v>0.100000639</c:v>
                </c:pt>
                <c:pt idx="8" formatCode="0.00000">
                  <c:v>0.10000076099999999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B-479A-BBE9-740E1F040593}"/>
            </c:ext>
          </c:extLst>
        </c:ser>
        <c:ser>
          <c:idx val="1"/>
          <c:order val="1"/>
          <c:tx>
            <c:strRef>
              <c:f>'0.1 Ohm'!$H$2</c:f>
              <c:strCache>
                <c:ptCount val="1"/>
                <c:pt idx="0">
                  <c:v>Prediction</c:v>
                </c:pt>
              </c:strCache>
            </c:strRef>
          </c:tx>
          <c:spPr>
            <a:ln w="15840" cap="rnd">
              <a:solidFill>
                <a:srgbClr val="FFFFFF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Ohm'!$C$3:$C$11</c:f>
              <c:numCache>
                <c:formatCode>0</c:formatCode>
                <c:ptCount val="9"/>
                <c:pt idx="0">
                  <c:v>0</c:v>
                </c:pt>
                <c:pt idx="1">
                  <c:v>351</c:v>
                </c:pt>
                <c:pt idx="2">
                  <c:v>579</c:v>
                </c:pt>
                <c:pt idx="3">
                  <c:v>799</c:v>
                </c:pt>
                <c:pt idx="4">
                  <c:v>997</c:v>
                </c:pt>
                <c:pt idx="5">
                  <c:v>1237</c:v>
                </c:pt>
                <c:pt idx="6">
                  <c:v>1549</c:v>
                </c:pt>
                <c:pt idx="7">
                  <c:v>1755</c:v>
                </c:pt>
                <c:pt idx="8">
                  <c:v>2037</c:v>
                </c:pt>
              </c:numCache>
            </c:numRef>
          </c:xVal>
          <c:yVal>
            <c:numRef>
              <c:f>'0.1 Ohm'!$H$3:$H$11</c:f>
              <c:numCache>
                <c:formatCode>0.00000000</c:formatCode>
                <c:ptCount val="9"/>
                <c:pt idx="0">
                  <c:v>0.10000034388592413</c:v>
                </c:pt>
                <c:pt idx="1">
                  <c:v>0.10000040926558511</c:v>
                </c:pt>
                <c:pt idx="2">
                  <c:v>0.10000045173442472</c:v>
                </c:pt>
                <c:pt idx="3">
                  <c:v>0.10000049271312959</c:v>
                </c:pt>
                <c:pt idx="4">
                  <c:v>0.10000052959396399</c:v>
                </c:pt>
                <c:pt idx="5">
                  <c:v>0.10000057429800568</c:v>
                </c:pt>
                <c:pt idx="6">
                  <c:v>0.10000063241325989</c:v>
                </c:pt>
                <c:pt idx="7">
                  <c:v>0.10000067078422901</c:v>
                </c:pt>
                <c:pt idx="8">
                  <c:v>0.100000723311478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2B-479A-BBE9-740E1F040593}"/>
            </c:ext>
          </c:extLst>
        </c:ser>
        <c:ser>
          <c:idx val="2"/>
          <c:order val="2"/>
          <c:tx>
            <c:v>Lower Bound</c:v>
          </c:tx>
          <c:spPr>
            <a:ln w="648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Ohm'!$C$3:$C$11</c:f>
              <c:numCache>
                <c:formatCode>0</c:formatCode>
                <c:ptCount val="9"/>
                <c:pt idx="0">
                  <c:v>0</c:v>
                </c:pt>
                <c:pt idx="1">
                  <c:v>351</c:v>
                </c:pt>
                <c:pt idx="2">
                  <c:v>579</c:v>
                </c:pt>
                <c:pt idx="3">
                  <c:v>799</c:v>
                </c:pt>
                <c:pt idx="4">
                  <c:v>997</c:v>
                </c:pt>
                <c:pt idx="5">
                  <c:v>1237</c:v>
                </c:pt>
                <c:pt idx="6">
                  <c:v>1549</c:v>
                </c:pt>
                <c:pt idx="7">
                  <c:v>1755</c:v>
                </c:pt>
                <c:pt idx="8">
                  <c:v>2037</c:v>
                </c:pt>
              </c:numCache>
            </c:numRef>
          </c:xVal>
          <c:yVal>
            <c:numRef>
              <c:f>'0.1 Ohm'!$I$3:$I$11</c:f>
              <c:numCache>
                <c:formatCode>0.00000000</c:formatCode>
                <c:ptCount val="9"/>
                <c:pt idx="0">
                  <c:v>0.1000001160742225</c:v>
                </c:pt>
                <c:pt idx="1">
                  <c:v>0.10000019532293837</c:v>
                </c:pt>
                <c:pt idx="2">
                  <c:v>0.1000002440469397</c:v>
                </c:pt>
                <c:pt idx="3">
                  <c:v>0.10000028877322009</c:v>
                </c:pt>
                <c:pt idx="4">
                  <c:v>0.10000032699895062</c:v>
                </c:pt>
                <c:pt idx="5">
                  <c:v>0.10000037070296013</c:v>
                </c:pt>
                <c:pt idx="6">
                  <c:v>0.10000042329537476</c:v>
                </c:pt>
                <c:pt idx="7">
                  <c:v>0.10000045556267245</c:v>
                </c:pt>
                <c:pt idx="8">
                  <c:v>0.10000049689315163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2B-479A-BBE9-740E1F040593}"/>
            </c:ext>
          </c:extLst>
        </c:ser>
        <c:ser>
          <c:idx val="3"/>
          <c:order val="3"/>
          <c:tx>
            <c:v>Upper Bound</c:v>
          </c:tx>
          <c:spPr>
            <a:ln w="648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Ohm'!$C$3:$C$11</c:f>
              <c:numCache>
                <c:formatCode>0</c:formatCode>
                <c:ptCount val="9"/>
                <c:pt idx="0">
                  <c:v>0</c:v>
                </c:pt>
                <c:pt idx="1">
                  <c:v>351</c:v>
                </c:pt>
                <c:pt idx="2">
                  <c:v>579</c:v>
                </c:pt>
                <c:pt idx="3">
                  <c:v>799</c:v>
                </c:pt>
                <c:pt idx="4">
                  <c:v>997</c:v>
                </c:pt>
                <c:pt idx="5">
                  <c:v>1237</c:v>
                </c:pt>
                <c:pt idx="6">
                  <c:v>1549</c:v>
                </c:pt>
                <c:pt idx="7">
                  <c:v>1755</c:v>
                </c:pt>
                <c:pt idx="8">
                  <c:v>2037</c:v>
                </c:pt>
              </c:numCache>
            </c:numRef>
          </c:xVal>
          <c:yVal>
            <c:numRef>
              <c:f>'0.1 Ohm'!$J$3:$J$11</c:f>
              <c:numCache>
                <c:formatCode>0.00000000</c:formatCode>
                <c:ptCount val="9"/>
                <c:pt idx="0">
                  <c:v>0.10000057169762576</c:v>
                </c:pt>
                <c:pt idx="1">
                  <c:v>0.10000062320823185</c:v>
                </c:pt>
                <c:pt idx="2">
                  <c:v>0.10000065942190974</c:v>
                </c:pt>
                <c:pt idx="3">
                  <c:v>0.1000006966530391</c:v>
                </c:pt>
                <c:pt idx="4">
                  <c:v>0.10000073218897737</c:v>
                </c:pt>
                <c:pt idx="5">
                  <c:v>0.10000077789305124</c:v>
                </c:pt>
                <c:pt idx="6">
                  <c:v>0.10000084153114502</c:v>
                </c:pt>
                <c:pt idx="7">
                  <c:v>0.10000088600578558</c:v>
                </c:pt>
                <c:pt idx="8">
                  <c:v>0.10000094972980436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2B-479A-BBE9-740E1F040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38706"/>
        <c:axId val="57228348"/>
      </c:scatterChart>
      <c:valAx>
        <c:axId val="61638706"/>
        <c:scaling>
          <c:orientation val="minMax"/>
        </c:scaling>
        <c:delete val="0"/>
        <c:axPos val="b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57228348"/>
        <c:crosses val="autoZero"/>
        <c:crossBetween val="midCat"/>
      </c:valAx>
      <c:valAx>
        <c:axId val="57228348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.00000000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6163870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5931840409030301"/>
          <c:y val="0.85030688366755003"/>
          <c:w val="0.73625727919235495"/>
          <c:h val="0.14848175055466101"/>
        </c:manualLayout>
      </c:layout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900" b="0" strike="noStrike" spc="-1">
              <a:solidFill>
                <a:srgbClr val="BFBFBF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gradFill>
      <a:gsLst>
        <a:gs pos="0">
          <a:srgbClr val="595959"/>
        </a:gs>
        <a:gs pos="100000">
          <a:srgbClr val="262626"/>
        </a:gs>
      </a:gsLst>
      <a:path path="circle">
        <a:fillToRect l="50000" t="50000" r="50000" b="50000"/>
      </a:path>
    </a:gradFill>
    <a:ln w="9360"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lang="en-GB" sz="1400" b="1" strike="noStrike" spc="97">
                <a:solidFill>
                  <a:srgbClr val="F2F2F2"/>
                </a:solidFill>
                <a:latin typeface="Aptos Narrow"/>
              </a:defRPr>
            </a:pPr>
            <a:r>
              <a:rPr lang="en-GB" sz="1400" b="1" strike="noStrike" spc="97">
                <a:solidFill>
                  <a:srgbClr val="F2F2F2"/>
                </a:solidFill>
                <a:latin typeface="Aptos Narrow"/>
              </a:rPr>
              <a:t>PN010034 Historical vs Prediction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'0.1 Ohm'!$T$2</c:f>
              <c:strCache>
                <c:ptCount val="1"/>
                <c:pt idx="0">
                  <c:v>Measured Value</c:v>
                </c:pt>
              </c:strCache>
            </c:strRef>
          </c:tx>
          <c:spPr>
            <a:ln w="25560">
              <a:noFill/>
              <a:prstDash val="solid"/>
            </a:ln>
          </c:spPr>
          <c:marker>
            <c:symbol val="circle"/>
            <c:size val="6"/>
            <c:spPr>
              <a:solidFill>
                <a:srgbClr val="156082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Ohm'!$Q$3:$Q$14</c:f>
              <c:numCache>
                <c:formatCode>0</c:formatCode>
                <c:ptCount val="12"/>
                <c:pt idx="0">
                  <c:v>0</c:v>
                </c:pt>
                <c:pt idx="1">
                  <c:v>147</c:v>
                </c:pt>
                <c:pt idx="2">
                  <c:v>487</c:v>
                </c:pt>
                <c:pt idx="3">
                  <c:v>753</c:v>
                </c:pt>
                <c:pt idx="4">
                  <c:v>757</c:v>
                </c:pt>
                <c:pt idx="5">
                  <c:v>970</c:v>
                </c:pt>
                <c:pt idx="6">
                  <c:v>1179</c:v>
                </c:pt>
                <c:pt idx="7">
                  <c:v>1408</c:v>
                </c:pt>
                <c:pt idx="8">
                  <c:v>1630</c:v>
                </c:pt>
                <c:pt idx="9">
                  <c:v>1911</c:v>
                </c:pt>
                <c:pt idx="10">
                  <c:v>2156</c:v>
                </c:pt>
                <c:pt idx="11">
                  <c:v>2454</c:v>
                </c:pt>
              </c:numCache>
            </c:numRef>
          </c:xVal>
          <c:yVal>
            <c:numRef>
              <c:f>'0.1 Ohm'!$T$3:$T$14</c:f>
              <c:numCache>
                <c:formatCode>0.000000000</c:formatCode>
                <c:ptCount val="12"/>
                <c:pt idx="0">
                  <c:v>0.100093328</c:v>
                </c:pt>
                <c:pt idx="1">
                  <c:v>9.9998105000000004E-2</c:v>
                </c:pt>
                <c:pt idx="2">
                  <c:v>9.9997186000000002E-2</c:v>
                </c:pt>
                <c:pt idx="3">
                  <c:v>0.10001816400000001</c:v>
                </c:pt>
                <c:pt idx="4">
                  <c:v>0.10001816199999999</c:v>
                </c:pt>
                <c:pt idx="5">
                  <c:v>9.9995775999999995E-2</c:v>
                </c:pt>
                <c:pt idx="6">
                  <c:v>9.9995698999999993E-2</c:v>
                </c:pt>
                <c:pt idx="7">
                  <c:v>9.9995440000000005E-2</c:v>
                </c:pt>
                <c:pt idx="8">
                  <c:v>9.9995150000000005E-2</c:v>
                </c:pt>
                <c:pt idx="9">
                  <c:v>9.9994042000000005E-2</c:v>
                </c:pt>
                <c:pt idx="10">
                  <c:v>9.9994042000000005E-2</c:v>
                </c:pt>
                <c:pt idx="11">
                  <c:v>9.9992474999999997E-2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6-4FA0-9CF7-124302ABD057}"/>
            </c:ext>
          </c:extLst>
        </c:ser>
        <c:ser>
          <c:idx val="1"/>
          <c:order val="1"/>
          <c:tx>
            <c:strRef>
              <c:f>'0.1 Ohm'!$V$2</c:f>
              <c:strCache>
                <c:ptCount val="1"/>
                <c:pt idx="0">
                  <c:v>Prediction</c:v>
                </c:pt>
              </c:strCache>
            </c:strRef>
          </c:tx>
          <c:spPr>
            <a:ln w="15840" cap="rnd">
              <a:solidFill>
                <a:srgbClr val="FFFFFF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Ohm'!$Q$3:$Q$14</c:f>
              <c:numCache>
                <c:formatCode>0</c:formatCode>
                <c:ptCount val="12"/>
                <c:pt idx="0">
                  <c:v>0</c:v>
                </c:pt>
                <c:pt idx="1">
                  <c:v>147</c:v>
                </c:pt>
                <c:pt idx="2">
                  <c:v>487</c:v>
                </c:pt>
                <c:pt idx="3">
                  <c:v>753</c:v>
                </c:pt>
                <c:pt idx="4">
                  <c:v>757</c:v>
                </c:pt>
                <c:pt idx="5">
                  <c:v>970</c:v>
                </c:pt>
                <c:pt idx="6">
                  <c:v>1179</c:v>
                </c:pt>
                <c:pt idx="7">
                  <c:v>1408</c:v>
                </c:pt>
                <c:pt idx="8">
                  <c:v>1630</c:v>
                </c:pt>
                <c:pt idx="9">
                  <c:v>1911</c:v>
                </c:pt>
                <c:pt idx="10">
                  <c:v>2156</c:v>
                </c:pt>
                <c:pt idx="11">
                  <c:v>2454</c:v>
                </c:pt>
              </c:numCache>
            </c:numRef>
          </c:xVal>
          <c:yVal>
            <c:numRef>
              <c:f>'0.1 Ohm'!$V$3:$V$14</c:f>
              <c:numCache>
                <c:formatCode>0.00000000</c:formatCode>
                <c:ptCount val="12"/>
                <c:pt idx="0">
                  <c:v>0.10003433789228301</c:v>
                </c:pt>
                <c:pt idx="1">
                  <c:v>0.10003069290598528</c:v>
                </c:pt>
                <c:pt idx="2">
                  <c:v>0.1000222623254327</c:v>
                </c:pt>
                <c:pt idx="3">
                  <c:v>0.10001566663594155</c:v>
                </c:pt>
                <c:pt idx="4">
                  <c:v>0.10001556745264094</c:v>
                </c:pt>
                <c:pt idx="5">
                  <c:v>0.10001028594188299</c:v>
                </c:pt>
                <c:pt idx="6">
                  <c:v>0.10000510361442567</c:v>
                </c:pt>
                <c:pt idx="7">
                  <c:v>9.9999425370465259E-2</c:v>
                </c:pt>
                <c:pt idx="8">
                  <c:v>9.9993920697280927E-2</c:v>
                </c:pt>
                <c:pt idx="9">
                  <c:v>9.9986953070412457E-2</c:v>
                </c:pt>
                <c:pt idx="10">
                  <c:v>9.998087809324957E-2</c:v>
                </c:pt>
                <c:pt idx="11">
                  <c:v>9.9973488937353486E-2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6-4FA0-9CF7-124302ABD057}"/>
            </c:ext>
          </c:extLst>
        </c:ser>
        <c:ser>
          <c:idx val="2"/>
          <c:order val="2"/>
          <c:tx>
            <c:strRef>
              <c:f>'0.1 Ohm'!$W$2</c:f>
              <c:strCache>
                <c:ptCount val="1"/>
                <c:pt idx="0">
                  <c:v>Lower</c:v>
                </c:pt>
              </c:strCache>
            </c:strRef>
          </c:tx>
          <c:spPr>
            <a:ln w="936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Ohm'!$Q$3:$Q$14</c:f>
              <c:numCache>
                <c:formatCode>0</c:formatCode>
                <c:ptCount val="12"/>
                <c:pt idx="0">
                  <c:v>0</c:v>
                </c:pt>
                <c:pt idx="1">
                  <c:v>147</c:v>
                </c:pt>
                <c:pt idx="2">
                  <c:v>487</c:v>
                </c:pt>
                <c:pt idx="3">
                  <c:v>753</c:v>
                </c:pt>
                <c:pt idx="4">
                  <c:v>757</c:v>
                </c:pt>
                <c:pt idx="5">
                  <c:v>970</c:v>
                </c:pt>
                <c:pt idx="6">
                  <c:v>1179</c:v>
                </c:pt>
                <c:pt idx="7">
                  <c:v>1408</c:v>
                </c:pt>
                <c:pt idx="8">
                  <c:v>1630</c:v>
                </c:pt>
                <c:pt idx="9">
                  <c:v>1911</c:v>
                </c:pt>
                <c:pt idx="10">
                  <c:v>2156</c:v>
                </c:pt>
                <c:pt idx="11">
                  <c:v>2454</c:v>
                </c:pt>
              </c:numCache>
            </c:numRef>
          </c:xVal>
          <c:yVal>
            <c:numRef>
              <c:f>'0.1 Ohm'!$W$3:$W$14</c:f>
              <c:numCache>
                <c:formatCode>0.00000000</c:formatCode>
                <c:ptCount val="12"/>
                <c:pt idx="0">
                  <c:v>9.9968997882786126E-2</c:v>
                </c:pt>
                <c:pt idx="1">
                  <c:v>9.9966819940769225E-2</c:v>
                </c:pt>
                <c:pt idx="2">
                  <c:v>9.9961007009020428E-2</c:v>
                </c:pt>
                <c:pt idx="3">
                  <c:v>9.995563395262963E-2</c:v>
                </c:pt>
                <c:pt idx="4">
                  <c:v>9.9955547318762286E-2</c:v>
                </c:pt>
                <c:pt idx="5">
                  <c:v>9.9950677659936468E-2</c:v>
                </c:pt>
                <c:pt idx="6">
                  <c:v>9.9945405416600727E-2</c:v>
                </c:pt>
                <c:pt idx="7">
                  <c:v>9.9939069697957739E-2</c:v>
                </c:pt>
                <c:pt idx="8">
                  <c:v>9.9932387092470445E-2</c:v>
                </c:pt>
                <c:pt idx="9">
                  <c:v>9.9923213085549439E-2</c:v>
                </c:pt>
                <c:pt idx="10">
                  <c:v>9.9914620354262934E-2</c:v>
                </c:pt>
                <c:pt idx="11">
                  <c:v>9.9903513434440608E-2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F6-4FA0-9CF7-124302ABD057}"/>
            </c:ext>
          </c:extLst>
        </c:ser>
        <c:ser>
          <c:idx val="3"/>
          <c:order val="3"/>
          <c:tx>
            <c:strRef>
              <c:f>'0.1 Ohm'!$X$2</c:f>
              <c:strCache>
                <c:ptCount val="1"/>
                <c:pt idx="0">
                  <c:v>Upper</c:v>
                </c:pt>
              </c:strCache>
            </c:strRef>
          </c:tx>
          <c:spPr>
            <a:ln w="936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Ohm'!$Q$3:$Q$14</c:f>
              <c:numCache>
                <c:formatCode>0</c:formatCode>
                <c:ptCount val="12"/>
                <c:pt idx="0">
                  <c:v>0</c:v>
                </c:pt>
                <c:pt idx="1">
                  <c:v>147</c:v>
                </c:pt>
                <c:pt idx="2">
                  <c:v>487</c:v>
                </c:pt>
                <c:pt idx="3">
                  <c:v>753</c:v>
                </c:pt>
                <c:pt idx="4">
                  <c:v>757</c:v>
                </c:pt>
                <c:pt idx="5">
                  <c:v>970</c:v>
                </c:pt>
                <c:pt idx="6">
                  <c:v>1179</c:v>
                </c:pt>
                <c:pt idx="7">
                  <c:v>1408</c:v>
                </c:pt>
                <c:pt idx="8">
                  <c:v>1630</c:v>
                </c:pt>
                <c:pt idx="9">
                  <c:v>1911</c:v>
                </c:pt>
                <c:pt idx="10">
                  <c:v>2156</c:v>
                </c:pt>
                <c:pt idx="11">
                  <c:v>2454</c:v>
                </c:pt>
              </c:numCache>
            </c:numRef>
          </c:xVal>
          <c:yVal>
            <c:numRef>
              <c:f>'0.1 Ohm'!$X$3:$X$14</c:f>
              <c:numCache>
                <c:formatCode>0.00000000</c:formatCode>
                <c:ptCount val="12"/>
                <c:pt idx="0">
                  <c:v>0.1000996779017799</c:v>
                </c:pt>
                <c:pt idx="1">
                  <c:v>0.10009456587120133</c:v>
                </c:pt>
                <c:pt idx="2">
                  <c:v>0.10008351764184496</c:v>
                </c:pt>
                <c:pt idx="3">
                  <c:v>0.10007569931925347</c:v>
                </c:pt>
                <c:pt idx="4">
                  <c:v>0.10007558758651959</c:v>
                </c:pt>
                <c:pt idx="5">
                  <c:v>0.10006989422382952</c:v>
                </c:pt>
                <c:pt idx="6">
                  <c:v>0.10006480181225062</c:v>
                </c:pt>
                <c:pt idx="7">
                  <c:v>0.10005978104297278</c:v>
                </c:pt>
                <c:pt idx="8">
                  <c:v>0.10005545430209141</c:v>
                </c:pt>
                <c:pt idx="9">
                  <c:v>0.10005069305527547</c:v>
                </c:pt>
                <c:pt idx="10">
                  <c:v>0.10004713583223621</c:v>
                </c:pt>
                <c:pt idx="11">
                  <c:v>0.10004346444026636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F6-4FA0-9CF7-124302ABD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27301"/>
        <c:axId val="2717977"/>
      </c:scatterChart>
      <c:valAx>
        <c:axId val="84227301"/>
        <c:scaling>
          <c:orientation val="minMax"/>
        </c:scaling>
        <c:delete val="0"/>
        <c:axPos val="b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2717977"/>
        <c:crosses val="autoZero"/>
        <c:crossBetween val="midCat"/>
      </c:valAx>
      <c:valAx>
        <c:axId val="2717977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.00000000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84227301"/>
        <c:crosses val="autoZero"/>
        <c:crossBetween val="midCat"/>
      </c:valAx>
    </c:plotArea>
    <c:legend>
      <c:legendPos val="b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900" b="0" strike="noStrike" spc="-1">
              <a:solidFill>
                <a:srgbClr val="BFBFBF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gradFill>
      <a:gsLst>
        <a:gs pos="0">
          <a:srgbClr val="595959"/>
        </a:gs>
        <a:gs pos="100000">
          <a:srgbClr val="262626"/>
        </a:gs>
      </a:gsLst>
      <a:path path="circle">
        <a:fillToRect l="50000" t="50000" r="50000" b="50000"/>
      </a:path>
    </a:gradFill>
    <a:ln w="9360"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lang="en-GB" sz="1400" b="1" strike="noStrike" spc="97">
                <a:solidFill>
                  <a:srgbClr val="F2F2F2"/>
                </a:solidFill>
                <a:latin typeface="Aptos Narrow"/>
              </a:defRPr>
            </a:pPr>
            <a:r>
              <a:rPr lang="en-GB" sz="1400" b="1" strike="noStrike" spc="97">
                <a:solidFill>
                  <a:srgbClr val="F2F2F2"/>
                </a:solidFill>
                <a:latin typeface="Aptos Narrow"/>
              </a:rPr>
              <a:t>PN010034 Historical vs Prediction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'0.1 Ohm'!$T$2</c:f>
              <c:strCache>
                <c:ptCount val="1"/>
                <c:pt idx="0">
                  <c:v>Measured Value</c:v>
                </c:pt>
              </c:strCache>
            </c:strRef>
          </c:tx>
          <c:spPr>
            <a:ln w="25560">
              <a:noFill/>
              <a:prstDash val="solid"/>
            </a:ln>
          </c:spPr>
          <c:marker>
            <c:symbol val="circle"/>
            <c:size val="6"/>
            <c:spPr>
              <a:solidFill>
                <a:srgbClr val="156082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Ohm'!$AE$3:$AE$26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26</c:v>
                </c:pt>
                <c:pt idx="14">
                  <c:v>27</c:v>
                </c:pt>
                <c:pt idx="15">
                  <c:v>27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283</c:v>
                </c:pt>
                <c:pt idx="21">
                  <c:v>478</c:v>
                </c:pt>
                <c:pt idx="22">
                  <c:v>575</c:v>
                </c:pt>
                <c:pt idx="23">
                  <c:v>984</c:v>
                </c:pt>
              </c:numCache>
            </c:numRef>
          </c:xVal>
          <c:yVal>
            <c:numRef>
              <c:f>'0.1 Ohm'!$AH$3:$AH$26</c:f>
              <c:numCache>
                <c:formatCode>0.000000000</c:formatCode>
                <c:ptCount val="24"/>
                <c:pt idx="0">
                  <c:v>9.9999376573160006E-2</c:v>
                </c:pt>
                <c:pt idx="1">
                  <c:v>9.9999368055510005E-2</c:v>
                </c:pt>
                <c:pt idx="2">
                  <c:v>9.9999373787750007E-2</c:v>
                </c:pt>
                <c:pt idx="3">
                  <c:v>9.9999394616929999E-2</c:v>
                </c:pt>
                <c:pt idx="4">
                  <c:v>9.9999384541569994E-2</c:v>
                </c:pt>
                <c:pt idx="5">
                  <c:v>9.9999377755149998E-2</c:v>
                </c:pt>
                <c:pt idx="6">
                  <c:v>9.9999379618170001E-2</c:v>
                </c:pt>
                <c:pt idx="7">
                  <c:v>9.9999375677080005E-2</c:v>
                </c:pt>
                <c:pt idx="8">
                  <c:v>9.9999385773359997E-2</c:v>
                </c:pt>
                <c:pt idx="9">
                  <c:v>9.9999381221359998E-2</c:v>
                </c:pt>
                <c:pt idx="10">
                  <c:v>9.9999366034760007E-2</c:v>
                </c:pt>
                <c:pt idx="11">
                  <c:v>9.999939485704E-2</c:v>
                </c:pt>
                <c:pt idx="12">
                  <c:v>9.9999391413739994E-2</c:v>
                </c:pt>
                <c:pt idx="13">
                  <c:v>9.999939429726E-2</c:v>
                </c:pt>
                <c:pt idx="14">
                  <c:v>9.999937880965E-2</c:v>
                </c:pt>
                <c:pt idx="15">
                  <c:v>9.9999387764659997E-2</c:v>
                </c:pt>
                <c:pt idx="16">
                  <c:v>9.9999385427340007E-2</c:v>
                </c:pt>
                <c:pt idx="17">
                  <c:v>9.9999367607539996E-2</c:v>
                </c:pt>
                <c:pt idx="18">
                  <c:v>9.9999366313589994E-2</c:v>
                </c:pt>
                <c:pt idx="19">
                  <c:v>9.9999370914070004E-2</c:v>
                </c:pt>
                <c:pt idx="20">
                  <c:v>9.9999205999999993E-2</c:v>
                </c:pt>
                <c:pt idx="21">
                  <c:v>9.9999137000000002E-2</c:v>
                </c:pt>
                <c:pt idx="22">
                  <c:v>9.9999037999999998E-2</c:v>
                </c:pt>
                <c:pt idx="23">
                  <c:v>9.9998940999999994E-2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B-4481-8C09-B35903F5DEF8}"/>
            </c:ext>
          </c:extLst>
        </c:ser>
        <c:ser>
          <c:idx val="1"/>
          <c:order val="1"/>
          <c:tx>
            <c:strRef>
              <c:f>'0.1 Ohm'!$V$2</c:f>
              <c:strCache>
                <c:ptCount val="1"/>
                <c:pt idx="0">
                  <c:v>Prediction</c:v>
                </c:pt>
              </c:strCache>
            </c:strRef>
          </c:tx>
          <c:spPr>
            <a:ln w="19080" cap="rnd">
              <a:solidFill>
                <a:srgbClr val="FFFFFF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Ohm'!$AE$3:$AE$26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26</c:v>
                </c:pt>
                <c:pt idx="14">
                  <c:v>27</c:v>
                </c:pt>
                <c:pt idx="15">
                  <c:v>27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283</c:v>
                </c:pt>
                <c:pt idx="21">
                  <c:v>478</c:v>
                </c:pt>
                <c:pt idx="22">
                  <c:v>575</c:v>
                </c:pt>
                <c:pt idx="23">
                  <c:v>984</c:v>
                </c:pt>
              </c:numCache>
            </c:numRef>
          </c:xVal>
          <c:yVal>
            <c:numRef>
              <c:f>'0.1 Ohm'!$AJ$3:$AJ$26</c:f>
              <c:numCache>
                <c:formatCode>0.00000000</c:formatCode>
                <c:ptCount val="24"/>
                <c:pt idx="0">
                  <c:v>9.9999387999035225E-2</c:v>
                </c:pt>
                <c:pt idx="1">
                  <c:v>9.9999387448412816E-2</c:v>
                </c:pt>
                <c:pt idx="2">
                  <c:v>9.9999386897790421E-2</c:v>
                </c:pt>
                <c:pt idx="3">
                  <c:v>9.9999386897790421E-2</c:v>
                </c:pt>
                <c:pt idx="4">
                  <c:v>9.9999385245923209E-2</c:v>
                </c:pt>
                <c:pt idx="5">
                  <c:v>9.9999384144678391E-2</c:v>
                </c:pt>
                <c:pt idx="6">
                  <c:v>9.9999384144678391E-2</c:v>
                </c:pt>
                <c:pt idx="7">
                  <c:v>9.9999383594055982E-2</c:v>
                </c:pt>
                <c:pt idx="8">
                  <c:v>9.9999383043433587E-2</c:v>
                </c:pt>
                <c:pt idx="9">
                  <c:v>9.9999383043433587E-2</c:v>
                </c:pt>
                <c:pt idx="10">
                  <c:v>9.9999376435964724E-2</c:v>
                </c:pt>
                <c:pt idx="11">
                  <c:v>9.9999375885342329E-2</c:v>
                </c:pt>
                <c:pt idx="12">
                  <c:v>9.999937533471992E-2</c:v>
                </c:pt>
                <c:pt idx="13">
                  <c:v>9.9999373682852707E-2</c:v>
                </c:pt>
                <c:pt idx="14">
                  <c:v>9.9999373132230299E-2</c:v>
                </c:pt>
                <c:pt idx="15">
                  <c:v>9.9999373132230299E-2</c:v>
                </c:pt>
                <c:pt idx="16">
                  <c:v>9.9999372030985495E-2</c:v>
                </c:pt>
                <c:pt idx="17">
                  <c:v>9.9999372030985495E-2</c:v>
                </c:pt>
                <c:pt idx="18">
                  <c:v>9.9999371480363086E-2</c:v>
                </c:pt>
                <c:pt idx="19">
                  <c:v>9.9999371480363086E-2</c:v>
                </c:pt>
                <c:pt idx="20">
                  <c:v>9.999923217289472E-2</c:v>
                </c:pt>
                <c:pt idx="21">
                  <c:v>9.9999124801525827E-2</c:v>
                </c:pt>
                <c:pt idx="22">
                  <c:v>9.9999071391152577E-2</c:v>
                </c:pt>
                <c:pt idx="23">
                  <c:v>9.9998846186589094E-2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B-4481-8C09-B35903F5DEF8}"/>
            </c:ext>
          </c:extLst>
        </c:ser>
        <c:ser>
          <c:idx val="2"/>
          <c:order val="2"/>
          <c:tx>
            <c:v>Lower Bound</c:v>
          </c:tx>
          <c:spPr>
            <a:ln w="936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Ohm'!$AE$3:$AE$26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26</c:v>
                </c:pt>
                <c:pt idx="14">
                  <c:v>27</c:v>
                </c:pt>
                <c:pt idx="15">
                  <c:v>27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283</c:v>
                </c:pt>
                <c:pt idx="21">
                  <c:v>478</c:v>
                </c:pt>
                <c:pt idx="22">
                  <c:v>575</c:v>
                </c:pt>
                <c:pt idx="23">
                  <c:v>984</c:v>
                </c:pt>
              </c:numCache>
            </c:numRef>
          </c:xVal>
          <c:yVal>
            <c:numRef>
              <c:f>'0.1 Ohm'!$AK$3:$AK$26</c:f>
              <c:numCache>
                <c:formatCode>General</c:formatCode>
                <c:ptCount val="24"/>
                <c:pt idx="0">
                  <c:v>9.9999360354041014E-2</c:v>
                </c:pt>
                <c:pt idx="1">
                  <c:v>9.9999359808231256E-2</c:v>
                </c:pt>
                <c:pt idx="2">
                  <c:v>9.9999359262322826E-2</c:v>
                </c:pt>
                <c:pt idx="3">
                  <c:v>9.9999359262322826E-2</c:v>
                </c:pt>
                <c:pt idx="4">
                  <c:v>9.9999357624004775E-2</c:v>
                </c:pt>
                <c:pt idx="5">
                  <c:v>9.9999356531298364E-2</c:v>
                </c:pt>
                <c:pt idx="6">
                  <c:v>9.9999356531298364E-2</c:v>
                </c:pt>
                <c:pt idx="7">
                  <c:v>9.9999355984796701E-2</c:v>
                </c:pt>
                <c:pt idx="8">
                  <c:v>9.9999355438196019E-2</c:v>
                </c:pt>
                <c:pt idx="9">
                  <c:v>9.9999355438196019E-2</c:v>
                </c:pt>
                <c:pt idx="10">
                  <c:v>9.9999348871248728E-2</c:v>
                </c:pt>
                <c:pt idx="11">
                  <c:v>9.9999348323357107E-2</c:v>
                </c:pt>
                <c:pt idx="12">
                  <c:v>9.9999347775365927E-2</c:v>
                </c:pt>
                <c:pt idx="13">
                  <c:v>9.9999346130794906E-2</c:v>
                </c:pt>
                <c:pt idx="14">
                  <c:v>9.9999345582405294E-2</c:v>
                </c:pt>
                <c:pt idx="15">
                  <c:v>9.9999345582405294E-2</c:v>
                </c:pt>
                <c:pt idx="16">
                  <c:v>9.999934448532706E-2</c:v>
                </c:pt>
                <c:pt idx="17">
                  <c:v>9.999934448532706E-2</c:v>
                </c:pt>
                <c:pt idx="18">
                  <c:v>9.9999343936638369E-2</c:v>
                </c:pt>
                <c:pt idx="19">
                  <c:v>9.9999343936638369E-2</c:v>
                </c:pt>
                <c:pt idx="20">
                  <c:v>9.9999202032038992E-2</c:v>
                </c:pt>
                <c:pt idx="21">
                  <c:v>9.9999089245339234E-2</c:v>
                </c:pt>
                <c:pt idx="22">
                  <c:v>9.9999032415175895E-2</c:v>
                </c:pt>
                <c:pt idx="23">
                  <c:v>9.9998789945013891E-2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9B-4481-8C09-B35903F5DEF8}"/>
            </c:ext>
          </c:extLst>
        </c:ser>
        <c:ser>
          <c:idx val="3"/>
          <c:order val="3"/>
          <c:tx>
            <c:v>Upper Bound</c:v>
          </c:tx>
          <c:spPr>
            <a:ln w="9360" cap="rnd">
              <a:solidFill>
                <a:srgbClr val="FFFFFF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ptos Narrow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'0.1 Ohm'!$AE$3:$AE$26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26</c:v>
                </c:pt>
                <c:pt idx="14">
                  <c:v>27</c:v>
                </c:pt>
                <c:pt idx="15">
                  <c:v>27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283</c:v>
                </c:pt>
                <c:pt idx="21">
                  <c:v>478</c:v>
                </c:pt>
                <c:pt idx="22">
                  <c:v>575</c:v>
                </c:pt>
                <c:pt idx="23">
                  <c:v>984</c:v>
                </c:pt>
              </c:numCache>
            </c:numRef>
          </c:xVal>
          <c:yVal>
            <c:numRef>
              <c:f>'0.1 Ohm'!$AL$3:$AL$26</c:f>
              <c:numCache>
                <c:formatCode>General</c:formatCode>
                <c:ptCount val="24"/>
                <c:pt idx="0">
                  <c:v>9.9999415644029435E-2</c:v>
                </c:pt>
                <c:pt idx="1">
                  <c:v>9.9999415088594376E-2</c:v>
                </c:pt>
                <c:pt idx="2">
                  <c:v>9.9999414533258016E-2</c:v>
                </c:pt>
                <c:pt idx="3">
                  <c:v>9.9999414533258016E-2</c:v>
                </c:pt>
                <c:pt idx="4">
                  <c:v>9.9999412867841642E-2</c:v>
                </c:pt>
                <c:pt idx="5">
                  <c:v>9.9999411758058418E-2</c:v>
                </c:pt>
                <c:pt idx="6">
                  <c:v>9.9999411758058418E-2</c:v>
                </c:pt>
                <c:pt idx="7">
                  <c:v>9.9999411203315264E-2</c:v>
                </c:pt>
                <c:pt idx="8">
                  <c:v>9.9999410648671155E-2</c:v>
                </c:pt>
                <c:pt idx="9">
                  <c:v>9.9999410648671155E-2</c:v>
                </c:pt>
                <c:pt idx="10">
                  <c:v>9.9999404000680719E-2</c:v>
                </c:pt>
                <c:pt idx="11">
                  <c:v>9.9999403447327551E-2</c:v>
                </c:pt>
                <c:pt idx="12">
                  <c:v>9.9999402894073913E-2</c:v>
                </c:pt>
                <c:pt idx="13">
                  <c:v>9.9999401234910509E-2</c:v>
                </c:pt>
                <c:pt idx="14">
                  <c:v>9.9999400682055303E-2</c:v>
                </c:pt>
                <c:pt idx="15">
                  <c:v>9.9999400682055303E-2</c:v>
                </c:pt>
                <c:pt idx="16">
                  <c:v>9.999939957664393E-2</c:v>
                </c:pt>
                <c:pt idx="17">
                  <c:v>9.999939957664393E-2</c:v>
                </c:pt>
                <c:pt idx="18">
                  <c:v>9.9999399024087804E-2</c:v>
                </c:pt>
                <c:pt idx="19">
                  <c:v>9.9999399024087804E-2</c:v>
                </c:pt>
                <c:pt idx="20">
                  <c:v>9.9999262313750448E-2</c:v>
                </c:pt>
                <c:pt idx="21">
                  <c:v>9.9999160357712419E-2</c:v>
                </c:pt>
                <c:pt idx="22">
                  <c:v>9.999911036712926E-2</c:v>
                </c:pt>
                <c:pt idx="23">
                  <c:v>9.9998902428164296E-2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9B-4481-8C09-B35903F5D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824"/>
        <c:axId val="1962375"/>
      </c:scatterChart>
      <c:valAx>
        <c:axId val="50030824"/>
        <c:scaling>
          <c:orientation val="minMax"/>
        </c:scaling>
        <c:delete val="0"/>
        <c:axPos val="b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1962375"/>
        <c:crosses val="autoZero"/>
        <c:crossBetween val="midCat"/>
      </c:valAx>
      <c:valAx>
        <c:axId val="1962375"/>
        <c:scaling>
          <c:orientation val="minMax"/>
        </c:scaling>
        <c:delete val="0"/>
        <c:axPos val="l"/>
        <c:majorGridlines>
          <c:spPr>
            <a:ln w="9360">
              <a:solidFill>
                <a:srgbClr val="F2F2F2"/>
              </a:solidFill>
              <a:prstDash val="solid"/>
              <a:round/>
            </a:ln>
          </c:spPr>
        </c:majorGridlines>
        <c:numFmt formatCode="0.00000000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prstDash val="solid"/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BFBFBF"/>
                </a:solidFill>
                <a:latin typeface="Aptos Narrow"/>
              </a:defRPr>
            </a:pPr>
            <a:endParaRPr lang="en-US"/>
          </a:p>
        </c:txPr>
        <c:crossAx val="50030824"/>
        <c:crosses val="autoZero"/>
        <c:crossBetween val="midCat"/>
      </c:valAx>
    </c:plotArea>
    <c:legend>
      <c:legendPos val="b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900" b="0" strike="noStrike" spc="-1">
              <a:solidFill>
                <a:srgbClr val="BFBFBF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gradFill>
      <a:gsLst>
        <a:gs pos="0">
          <a:srgbClr val="595959"/>
        </a:gs>
        <a:gs pos="100000">
          <a:srgbClr val="262626"/>
        </a:gs>
      </a:gsLst>
      <a:path path="circle">
        <a:fillToRect l="50000" t="50000" r="50000" b="50000"/>
      </a:path>
    </a:gradFill>
    <a:ln w="9360"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/>
              <a:t>PN010001</a:t>
            </a:r>
            <a:r>
              <a:rPr lang="en-GB" sz="1800" baseline="0"/>
              <a:t> </a:t>
            </a:r>
            <a:r>
              <a:rPr lang="en-GB" sz="1050" baseline="0"/>
              <a:t>Historical vs Prediction</a:t>
            </a:r>
            <a:endParaRPr lang="en-GB" sz="105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  <a:tileRect/>
              </a:gradFill>
              <a:ln w="9525" cap="rnd">
                <a:solidFill>
                  <a:schemeClr val="accent1"/>
                </a:solidFill>
                <a:prstDash val="solid"/>
                <a:round/>
              </a:ln>
            </c:spPr>
          </c:marker>
          <c:xVal>
            <c:numRef>
              <c:f>'1 Ohm'!$C$3:$C$23</c:f>
              <c:numCache>
                <c:formatCode>0</c:formatCode>
                <c:ptCount val="21"/>
                <c:pt idx="0">
                  <c:v>0</c:v>
                </c:pt>
                <c:pt idx="1">
                  <c:v>191</c:v>
                </c:pt>
                <c:pt idx="2">
                  <c:v>396</c:v>
                </c:pt>
                <c:pt idx="3">
                  <c:v>611</c:v>
                </c:pt>
                <c:pt idx="4">
                  <c:v>819</c:v>
                </c:pt>
                <c:pt idx="5">
                  <c:v>1036</c:v>
                </c:pt>
                <c:pt idx="6">
                  <c:v>1254</c:v>
                </c:pt>
                <c:pt idx="7">
                  <c:v>1549</c:v>
                </c:pt>
                <c:pt idx="8">
                  <c:v>1856</c:v>
                </c:pt>
                <c:pt idx="9">
                  <c:v>2061</c:v>
                </c:pt>
                <c:pt idx="10">
                  <c:v>2264</c:v>
                </c:pt>
                <c:pt idx="11">
                  <c:v>2471</c:v>
                </c:pt>
                <c:pt idx="12">
                  <c:v>2843</c:v>
                </c:pt>
                <c:pt idx="13">
                  <c:v>3195</c:v>
                </c:pt>
                <c:pt idx="14">
                  <c:v>3423</c:v>
                </c:pt>
                <c:pt idx="15">
                  <c:v>3630</c:v>
                </c:pt>
                <c:pt idx="16">
                  <c:v>3841</c:v>
                </c:pt>
                <c:pt idx="17">
                  <c:v>4081</c:v>
                </c:pt>
                <c:pt idx="18">
                  <c:v>4392</c:v>
                </c:pt>
                <c:pt idx="19">
                  <c:v>4599</c:v>
                </c:pt>
                <c:pt idx="20">
                  <c:v>4881</c:v>
                </c:pt>
              </c:numCache>
            </c:numRef>
          </c:xVal>
          <c:yVal>
            <c:numRef>
              <c:f>'1 Ohm'!$F$3:$F$23</c:f>
              <c:numCache>
                <c:formatCode>0.00000000</c:formatCode>
                <c:ptCount val="21"/>
                <c:pt idx="0">
                  <c:v>1.0000100999999999</c:v>
                </c:pt>
                <c:pt idx="1">
                  <c:v>1.0000108999999999</c:v>
                </c:pt>
                <c:pt idx="2">
                  <c:v>1.000011</c:v>
                </c:pt>
                <c:pt idx="3">
                  <c:v>1.0000114</c:v>
                </c:pt>
                <c:pt idx="4">
                  <c:v>1.0000115999999999</c:v>
                </c:pt>
                <c:pt idx="5">
                  <c:v>1.0000116999999999</c:v>
                </c:pt>
                <c:pt idx="6">
                  <c:v>1.00001176</c:v>
                </c:pt>
                <c:pt idx="7">
                  <c:v>1.00001209</c:v>
                </c:pt>
                <c:pt idx="8">
                  <c:v>1.0000131000000001</c:v>
                </c:pt>
                <c:pt idx="9">
                  <c:v>1.0000135999999999</c:v>
                </c:pt>
                <c:pt idx="10">
                  <c:v>1.0000137</c:v>
                </c:pt>
                <c:pt idx="11">
                  <c:v>1.0000141600000001</c:v>
                </c:pt>
                <c:pt idx="12">
                  <c:v>1.0000146670000001</c:v>
                </c:pt>
                <c:pt idx="13">
                  <c:v>1.000015061</c:v>
                </c:pt>
                <c:pt idx="14" formatCode="General">
                  <c:v>1.0000153300000001</c:v>
                </c:pt>
                <c:pt idx="15" formatCode="General">
                  <c:v>1.00001553</c:v>
                </c:pt>
                <c:pt idx="16" formatCode="General">
                  <c:v>1.0000159900000001</c:v>
                </c:pt>
                <c:pt idx="17" formatCode="General">
                  <c:v>1.0000160199999999</c:v>
                </c:pt>
                <c:pt idx="18" formatCode="General">
                  <c:v>1.00001652</c:v>
                </c:pt>
                <c:pt idx="19" formatCode="General">
                  <c:v>1.0000169800000001</c:v>
                </c:pt>
                <c:pt idx="20" formatCode="General">
                  <c:v>1.00001758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86-4107-BFF8-0B51F2C32688}"/>
            </c:ext>
          </c:extLst>
        </c:ser>
        <c:ser>
          <c:idx val="1"/>
          <c:order val="1"/>
          <c:tx>
            <c:v>Prediction</c:v>
          </c:tx>
          <c:spPr>
            <a:ln w="15875" cap="rnd">
              <a:solidFill>
                <a:schemeClr val="bg1"/>
              </a:solidFill>
              <a:prstDash val="dash"/>
              <a:round/>
            </a:ln>
          </c:spPr>
          <c:marker>
            <c:symbol val="none"/>
          </c:marker>
          <c:xVal>
            <c:numRef>
              <c:f>'1 Ohm'!$C$3:$C$23</c:f>
              <c:numCache>
                <c:formatCode>0</c:formatCode>
                <c:ptCount val="21"/>
                <c:pt idx="0">
                  <c:v>0</c:v>
                </c:pt>
                <c:pt idx="1">
                  <c:v>191</c:v>
                </c:pt>
                <c:pt idx="2">
                  <c:v>396</c:v>
                </c:pt>
                <c:pt idx="3">
                  <c:v>611</c:v>
                </c:pt>
                <c:pt idx="4">
                  <c:v>819</c:v>
                </c:pt>
                <c:pt idx="5">
                  <c:v>1036</c:v>
                </c:pt>
                <c:pt idx="6">
                  <c:v>1254</c:v>
                </c:pt>
                <c:pt idx="7">
                  <c:v>1549</c:v>
                </c:pt>
                <c:pt idx="8">
                  <c:v>1856</c:v>
                </c:pt>
                <c:pt idx="9">
                  <c:v>2061</c:v>
                </c:pt>
                <c:pt idx="10">
                  <c:v>2264</c:v>
                </c:pt>
                <c:pt idx="11">
                  <c:v>2471</c:v>
                </c:pt>
                <c:pt idx="12">
                  <c:v>2843</c:v>
                </c:pt>
                <c:pt idx="13">
                  <c:v>3195</c:v>
                </c:pt>
                <c:pt idx="14">
                  <c:v>3423</c:v>
                </c:pt>
                <c:pt idx="15">
                  <c:v>3630</c:v>
                </c:pt>
                <c:pt idx="16">
                  <c:v>3841</c:v>
                </c:pt>
                <c:pt idx="17">
                  <c:v>4081</c:v>
                </c:pt>
                <c:pt idx="18">
                  <c:v>4392</c:v>
                </c:pt>
                <c:pt idx="19">
                  <c:v>4599</c:v>
                </c:pt>
                <c:pt idx="20">
                  <c:v>4881</c:v>
                </c:pt>
              </c:numCache>
            </c:numRef>
          </c:xVal>
          <c:yVal>
            <c:numRef>
              <c:f>'1 Ohm'!$H$3:$H$23</c:f>
              <c:numCache>
                <c:formatCode>0.00000000</c:formatCode>
                <c:ptCount val="21"/>
                <c:pt idx="0">
                  <c:v>1.0000103372424334</c:v>
                </c:pt>
                <c:pt idx="1">
                  <c:v>1.0000106145252183</c:v>
                </c:pt>
                <c:pt idx="2">
                  <c:v>1.0000109121323961</c:v>
                </c:pt>
                <c:pt idx="3">
                  <c:v>1.000011224256997</c:v>
                </c:pt>
                <c:pt idx="4">
                  <c:v>1.0000115262194016</c:v>
                </c:pt>
                <c:pt idx="5">
                  <c:v>1.0000118412474872</c:v>
                </c:pt>
                <c:pt idx="6">
                  <c:v>1.0000121577273151</c:v>
                </c:pt>
                <c:pt idx="7">
                  <c:v>1.0000125859913025</c:v>
                </c:pt>
                <c:pt idx="8">
                  <c:v>1.0000130316761977</c:v>
                </c:pt>
                <c:pt idx="9">
                  <c:v>1.0000133292833753</c:v>
                </c:pt>
                <c:pt idx="10">
                  <c:v>1.0000136239870683</c:v>
                </c:pt>
                <c:pt idx="11">
                  <c:v>1.0000139244977306</c:v>
                </c:pt>
                <c:pt idx="12">
                  <c:v>1.0000144645458775</c:v>
                </c:pt>
                <c:pt idx="13">
                  <c:v>1.0000149755591776</c:v>
                </c:pt>
                <c:pt idx="14">
                  <c:v>1.0000153065564288</c:v>
                </c:pt>
                <c:pt idx="15">
                  <c:v>1.0000156070670911</c:v>
                </c:pt>
                <c:pt idx="16">
                  <c:v>1.0000159133847226</c:v>
                </c:pt>
                <c:pt idx="17">
                  <c:v>1.0000162618028818</c:v>
                </c:pt>
                <c:pt idx="18">
                  <c:v>1.0000167132947464</c:v>
                </c:pt>
                <c:pt idx="19">
                  <c:v>1.0000170138054087</c:v>
                </c:pt>
                <c:pt idx="20">
                  <c:v>1.0000174231967458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86-4107-BFF8-0B51F2C3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92688"/>
        <c:axId val="166696432"/>
      </c:scatterChart>
      <c:scatterChart>
        <c:scatterStyle val="smoothMarker"/>
        <c:varyColors val="0"/>
        <c:ser>
          <c:idx val="2"/>
          <c:order val="2"/>
          <c:tx>
            <c:v>Lower Bound</c:v>
          </c:tx>
          <c:spPr>
            <a:ln w="6350" cap="rnd">
              <a:solidFill>
                <a:schemeClr val="bg1"/>
              </a:solidFill>
              <a:prstDash val="solid"/>
              <a:round/>
            </a:ln>
          </c:spPr>
          <c:marker>
            <c:symbol val="none"/>
          </c:marker>
          <c:xVal>
            <c:numRef>
              <c:f>'1 Ohm'!$C$3:$C$23</c:f>
              <c:numCache>
                <c:formatCode>0</c:formatCode>
                <c:ptCount val="21"/>
                <c:pt idx="0">
                  <c:v>0</c:v>
                </c:pt>
                <c:pt idx="1">
                  <c:v>191</c:v>
                </c:pt>
                <c:pt idx="2">
                  <c:v>396</c:v>
                </c:pt>
                <c:pt idx="3">
                  <c:v>611</c:v>
                </c:pt>
                <c:pt idx="4">
                  <c:v>819</c:v>
                </c:pt>
                <c:pt idx="5">
                  <c:v>1036</c:v>
                </c:pt>
                <c:pt idx="6">
                  <c:v>1254</c:v>
                </c:pt>
                <c:pt idx="7">
                  <c:v>1549</c:v>
                </c:pt>
                <c:pt idx="8">
                  <c:v>1856</c:v>
                </c:pt>
                <c:pt idx="9">
                  <c:v>2061</c:v>
                </c:pt>
                <c:pt idx="10">
                  <c:v>2264</c:v>
                </c:pt>
                <c:pt idx="11">
                  <c:v>2471</c:v>
                </c:pt>
                <c:pt idx="12">
                  <c:v>2843</c:v>
                </c:pt>
                <c:pt idx="13">
                  <c:v>3195</c:v>
                </c:pt>
                <c:pt idx="14">
                  <c:v>3423</c:v>
                </c:pt>
                <c:pt idx="15">
                  <c:v>3630</c:v>
                </c:pt>
                <c:pt idx="16">
                  <c:v>3841</c:v>
                </c:pt>
                <c:pt idx="17">
                  <c:v>4081</c:v>
                </c:pt>
                <c:pt idx="18">
                  <c:v>4392</c:v>
                </c:pt>
                <c:pt idx="19">
                  <c:v>4599</c:v>
                </c:pt>
                <c:pt idx="20">
                  <c:v>4881</c:v>
                </c:pt>
              </c:numCache>
            </c:numRef>
          </c:xVal>
          <c:yVal>
            <c:numRef>
              <c:f>'1 Ohm'!$I$3:$I$23</c:f>
              <c:numCache>
                <c:formatCode>0.00000000</c:formatCode>
                <c:ptCount val="21"/>
                <c:pt idx="0">
                  <c:v>1.0000098385397864</c:v>
                </c:pt>
                <c:pt idx="1">
                  <c:v>1.0000101196964262</c:v>
                </c:pt>
                <c:pt idx="2">
                  <c:v>1.0000104211261931</c:v>
                </c:pt>
                <c:pt idx="3">
                  <c:v>1.0000107368782858</c:v>
                </c:pt>
                <c:pt idx="4">
                  <c:v>1.0000110419701671</c:v>
                </c:pt>
                <c:pt idx="5">
                  <c:v>1.0000113598569533</c:v>
                </c:pt>
                <c:pt idx="6">
                  <c:v>1.0000116787836211</c:v>
                </c:pt>
                <c:pt idx="7">
                  <c:v>1.0000121096689198</c:v>
                </c:pt>
                <c:pt idx="8">
                  <c:v>1.0000125572267391</c:v>
                </c:pt>
                <c:pt idx="9">
                  <c:v>1.0000128555937637</c:v>
                </c:pt>
                <c:pt idx="10">
                  <c:v>1.0000131506602874</c:v>
                </c:pt>
                <c:pt idx="11">
                  <c:v>1.0000134511407774</c:v>
                </c:pt>
                <c:pt idx="12">
                  <c:v>1.0000139901200829</c:v>
                </c:pt>
                <c:pt idx="13">
                  <c:v>1.0000144989290434</c:v>
                </c:pt>
                <c:pt idx="14">
                  <c:v>1.0000148278867529</c:v>
                </c:pt>
                <c:pt idx="15">
                  <c:v>1.0000151261350547</c:v>
                </c:pt>
                <c:pt idx="16">
                  <c:v>1.000015429750212</c:v>
                </c:pt>
                <c:pt idx="17">
                  <c:v>1.0000157746164577</c:v>
                </c:pt>
                <c:pt idx="18">
                  <c:v>1.000016220766456</c:v>
                </c:pt>
                <c:pt idx="19">
                  <c:v>1.0000165172711502</c:v>
                </c:pt>
                <c:pt idx="20">
                  <c:v>1.0000169206435703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86-4107-BFF8-0B51F2C32688}"/>
            </c:ext>
          </c:extLst>
        </c:ser>
        <c:ser>
          <c:idx val="3"/>
          <c:order val="3"/>
          <c:tx>
            <c:v>Upper Bound</c:v>
          </c:tx>
          <c:spPr>
            <a:ln w="6350" cap="rnd">
              <a:solidFill>
                <a:schemeClr val="bg1"/>
              </a:solidFill>
              <a:prstDash val="solid"/>
              <a:round/>
            </a:ln>
          </c:spPr>
          <c:marker>
            <c:symbol val="none"/>
          </c:marker>
          <c:xVal>
            <c:numRef>
              <c:f>'1 Ohm'!$C$3:$C$23</c:f>
              <c:numCache>
                <c:formatCode>0</c:formatCode>
                <c:ptCount val="21"/>
                <c:pt idx="0">
                  <c:v>0</c:v>
                </c:pt>
                <c:pt idx="1">
                  <c:v>191</c:v>
                </c:pt>
                <c:pt idx="2">
                  <c:v>396</c:v>
                </c:pt>
                <c:pt idx="3">
                  <c:v>611</c:v>
                </c:pt>
                <c:pt idx="4">
                  <c:v>819</c:v>
                </c:pt>
                <c:pt idx="5">
                  <c:v>1036</c:v>
                </c:pt>
                <c:pt idx="6">
                  <c:v>1254</c:v>
                </c:pt>
                <c:pt idx="7">
                  <c:v>1549</c:v>
                </c:pt>
                <c:pt idx="8">
                  <c:v>1856</c:v>
                </c:pt>
                <c:pt idx="9">
                  <c:v>2061</c:v>
                </c:pt>
                <c:pt idx="10">
                  <c:v>2264</c:v>
                </c:pt>
                <c:pt idx="11">
                  <c:v>2471</c:v>
                </c:pt>
                <c:pt idx="12">
                  <c:v>2843</c:v>
                </c:pt>
                <c:pt idx="13">
                  <c:v>3195</c:v>
                </c:pt>
                <c:pt idx="14">
                  <c:v>3423</c:v>
                </c:pt>
                <c:pt idx="15">
                  <c:v>3630</c:v>
                </c:pt>
                <c:pt idx="16">
                  <c:v>3841</c:v>
                </c:pt>
                <c:pt idx="17">
                  <c:v>4081</c:v>
                </c:pt>
                <c:pt idx="18">
                  <c:v>4392</c:v>
                </c:pt>
                <c:pt idx="19">
                  <c:v>4599</c:v>
                </c:pt>
                <c:pt idx="20">
                  <c:v>4881</c:v>
                </c:pt>
              </c:numCache>
            </c:numRef>
          </c:xVal>
          <c:yVal>
            <c:numRef>
              <c:f>'1 Ohm'!$J$3:$J$23</c:f>
              <c:numCache>
                <c:formatCode>0.00000000</c:formatCode>
                <c:ptCount val="21"/>
                <c:pt idx="0">
                  <c:v>1.0000108359450803</c:v>
                </c:pt>
                <c:pt idx="1">
                  <c:v>1.0000111093540105</c:v>
                </c:pt>
                <c:pt idx="2">
                  <c:v>1.0000114031385992</c:v>
                </c:pt>
                <c:pt idx="3">
                  <c:v>1.0000117116357081</c:v>
                </c:pt>
                <c:pt idx="4">
                  <c:v>1.0000120104686361</c:v>
                </c:pt>
                <c:pt idx="5">
                  <c:v>1.0000123226380211</c:v>
                </c:pt>
                <c:pt idx="6">
                  <c:v>1.0000126366710091</c:v>
                </c:pt>
                <c:pt idx="7">
                  <c:v>1.0000130623136851</c:v>
                </c:pt>
                <c:pt idx="8">
                  <c:v>1.0000135061256563</c:v>
                </c:pt>
                <c:pt idx="9">
                  <c:v>1.0000138029729868</c:v>
                </c:pt>
                <c:pt idx="10">
                  <c:v>1.0000140973138492</c:v>
                </c:pt>
                <c:pt idx="11">
                  <c:v>1.0000143978546838</c:v>
                </c:pt>
                <c:pt idx="12">
                  <c:v>1.0000149389716722</c:v>
                </c:pt>
                <c:pt idx="13">
                  <c:v>1.0000154521893119</c:v>
                </c:pt>
                <c:pt idx="14">
                  <c:v>1.0000157852261047</c:v>
                </c:pt>
                <c:pt idx="15">
                  <c:v>1.0000160879991276</c:v>
                </c:pt>
                <c:pt idx="16">
                  <c:v>1.0000163970192333</c:v>
                </c:pt>
                <c:pt idx="17">
                  <c:v>1.0000167489893059</c:v>
                </c:pt>
                <c:pt idx="18">
                  <c:v>1.0000172058230368</c:v>
                </c:pt>
                <c:pt idx="19">
                  <c:v>1.0000175103396673</c:v>
                </c:pt>
                <c:pt idx="20">
                  <c:v>1.0000179257499213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86-4107-BFF8-0B51F2C3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92688"/>
        <c:axId val="166696432"/>
      </c:scatterChart>
      <c:valAx>
        <c:axId val="16669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96432"/>
        <c:crosses val="autoZero"/>
        <c:crossBetween val="midCat"/>
      </c:valAx>
      <c:valAx>
        <c:axId val="166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926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473724799425109"/>
          <c:y val="0.82849799161845106"/>
          <c:w val="0.73625727919235473"/>
          <c:h val="0.14848175055466131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gradFill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spc="100" baseline="0">
                <a:solidFill>
                  <a:schemeClr val="lt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/>
              <a:t>PN010022</a:t>
            </a:r>
            <a:r>
              <a:rPr lang="en-GB" sz="1800" baseline="0"/>
              <a:t> </a:t>
            </a:r>
            <a:r>
              <a:rPr lang="en-GB" sz="1050" baseline="0"/>
              <a:t>Historical vs Prediction</a:t>
            </a:r>
            <a:endParaRPr lang="en-GB" sz="105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Measured</c:v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  <a:tileRect/>
              </a:gradFill>
              <a:ln w="9525" cap="rnd">
                <a:solidFill>
                  <a:schemeClr val="accent1"/>
                </a:solidFill>
                <a:prstDash val="solid"/>
                <a:round/>
              </a:ln>
            </c:spPr>
          </c:marker>
          <c:xVal>
            <c:numRef>
              <c:f>'1 Ohm'!$Q$3:$Q$17</c:f>
              <c:numCache>
                <c:formatCode>0</c:formatCode>
                <c:ptCount val="15"/>
                <c:pt idx="0">
                  <c:v>0</c:v>
                </c:pt>
                <c:pt idx="1">
                  <c:v>232</c:v>
                </c:pt>
                <c:pt idx="2">
                  <c:v>428</c:v>
                </c:pt>
                <c:pt idx="3">
                  <c:v>651</c:v>
                </c:pt>
                <c:pt idx="4">
                  <c:v>822</c:v>
                </c:pt>
                <c:pt idx="5">
                  <c:v>966</c:v>
                </c:pt>
                <c:pt idx="6">
                  <c:v>1311</c:v>
                </c:pt>
                <c:pt idx="7">
                  <c:v>1562</c:v>
                </c:pt>
                <c:pt idx="8">
                  <c:v>1794</c:v>
                </c:pt>
                <c:pt idx="9">
                  <c:v>2001</c:v>
                </c:pt>
                <c:pt idx="10">
                  <c:v>2233</c:v>
                </c:pt>
                <c:pt idx="11">
                  <c:v>2449</c:v>
                </c:pt>
                <c:pt idx="12">
                  <c:v>2708</c:v>
                </c:pt>
                <c:pt idx="13">
                  <c:v>2981</c:v>
                </c:pt>
                <c:pt idx="14">
                  <c:v>3278</c:v>
                </c:pt>
              </c:numCache>
            </c:numRef>
          </c:xVal>
          <c:yVal>
            <c:numRef>
              <c:f>'1 Ohm'!$T$3:$T$17</c:f>
              <c:numCache>
                <c:formatCode>0.00000000</c:formatCode>
                <c:ptCount val="15"/>
                <c:pt idx="0">
                  <c:v>1.0000093000000001</c:v>
                </c:pt>
                <c:pt idx="1">
                  <c:v>1.0000096999999999</c:v>
                </c:pt>
                <c:pt idx="2">
                  <c:v>1.00000961</c:v>
                </c:pt>
                <c:pt idx="3">
                  <c:v>1.00001045</c:v>
                </c:pt>
                <c:pt idx="4">
                  <c:v>1.0000102</c:v>
                </c:pt>
                <c:pt idx="5">
                  <c:v>1.0000109800000001</c:v>
                </c:pt>
                <c:pt idx="6">
                  <c:v>1.0000109800000001</c:v>
                </c:pt>
                <c:pt idx="7">
                  <c:v>1.00001082</c:v>
                </c:pt>
                <c:pt idx="8">
                  <c:v>1.0000111700000001</c:v>
                </c:pt>
                <c:pt idx="9">
                  <c:v>1.0000113500000001</c:v>
                </c:pt>
                <c:pt idx="10">
                  <c:v>1.0000115599999999</c:v>
                </c:pt>
                <c:pt idx="11">
                  <c:v>1.00001187</c:v>
                </c:pt>
                <c:pt idx="12">
                  <c:v>1.00001199</c:v>
                </c:pt>
                <c:pt idx="13">
                  <c:v>1.0000121</c:v>
                </c:pt>
                <c:pt idx="14">
                  <c:v>1.0000125499999999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E-4FCA-A58D-CBB815CDB1CF}"/>
            </c:ext>
          </c:extLst>
        </c:ser>
        <c:ser>
          <c:idx val="1"/>
          <c:order val="1"/>
          <c:tx>
            <c:v>Predicted</c:v>
          </c:tx>
          <c:spPr>
            <a:ln w="15875" cap="rnd">
              <a:solidFill>
                <a:schemeClr val="bg1"/>
              </a:solidFill>
              <a:prstDash val="dash"/>
              <a:round/>
            </a:ln>
          </c:spPr>
          <c:marker>
            <c:symbol val="none"/>
          </c:marker>
          <c:xVal>
            <c:numRef>
              <c:f>'1 Ohm'!$Q$3:$Q$17</c:f>
              <c:numCache>
                <c:formatCode>0</c:formatCode>
                <c:ptCount val="15"/>
                <c:pt idx="0">
                  <c:v>0</c:v>
                </c:pt>
                <c:pt idx="1">
                  <c:v>232</c:v>
                </c:pt>
                <c:pt idx="2">
                  <c:v>428</c:v>
                </c:pt>
                <c:pt idx="3">
                  <c:v>651</c:v>
                </c:pt>
                <c:pt idx="4">
                  <c:v>822</c:v>
                </c:pt>
                <c:pt idx="5">
                  <c:v>966</c:v>
                </c:pt>
                <c:pt idx="6">
                  <c:v>1311</c:v>
                </c:pt>
                <c:pt idx="7">
                  <c:v>1562</c:v>
                </c:pt>
                <c:pt idx="8">
                  <c:v>1794</c:v>
                </c:pt>
                <c:pt idx="9">
                  <c:v>2001</c:v>
                </c:pt>
                <c:pt idx="10">
                  <c:v>2233</c:v>
                </c:pt>
                <c:pt idx="11">
                  <c:v>2449</c:v>
                </c:pt>
                <c:pt idx="12">
                  <c:v>2708</c:v>
                </c:pt>
                <c:pt idx="13">
                  <c:v>2981</c:v>
                </c:pt>
                <c:pt idx="14">
                  <c:v>3278</c:v>
                </c:pt>
              </c:numCache>
            </c:numRef>
          </c:xVal>
          <c:yVal>
            <c:numRef>
              <c:f>'1 Ohm'!$V$3:$V$17</c:f>
              <c:numCache>
                <c:formatCode>0.00000000</c:formatCode>
                <c:ptCount val="15"/>
                <c:pt idx="0">
                  <c:v>1.0000095475802675</c:v>
                </c:pt>
                <c:pt idx="1">
                  <c:v>1.0000097597174853</c:v>
                </c:pt>
                <c:pt idx="2">
                  <c:v>1.0000099389368589</c:v>
                </c:pt>
                <c:pt idx="3">
                  <c:v>1.0000101428446155</c:v>
                </c:pt>
                <c:pt idx="4">
                  <c:v>1.0000102992043751</c:v>
                </c:pt>
                <c:pt idx="5">
                  <c:v>1.0000104308757518</c:v>
                </c:pt>
                <c:pt idx="6">
                  <c:v>1.0000107463384247</c:v>
                </c:pt>
                <c:pt idx="7">
                  <c:v>1.000010975848949</c:v>
                </c:pt>
                <c:pt idx="8">
                  <c:v>1.0000111879861668</c:v>
                </c:pt>
                <c:pt idx="9">
                  <c:v>1.0000113772637707</c:v>
                </c:pt>
                <c:pt idx="10">
                  <c:v>1.0000115894009884</c:v>
                </c:pt>
                <c:pt idx="11">
                  <c:v>1.0000117869080531</c:v>
                </c:pt>
                <c:pt idx="12">
                  <c:v>1.0000120237336541</c:v>
                </c:pt>
                <c:pt idx="13">
                  <c:v>1.0000122733606387</c:v>
                </c:pt>
                <c:pt idx="14">
                  <c:v>1.0000125449328527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E-4FCA-A58D-CBB815CD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92688"/>
        <c:axId val="166696432"/>
      </c:scatterChart>
      <c:scatterChart>
        <c:scatterStyle val="smoothMarker"/>
        <c:varyColors val="0"/>
        <c:ser>
          <c:idx val="2"/>
          <c:order val="2"/>
          <c:tx>
            <c:v>Lower Bound</c:v>
          </c:tx>
          <c:spPr>
            <a:ln w="9525" cap="rnd">
              <a:solidFill>
                <a:schemeClr val="bg1"/>
              </a:solidFill>
              <a:prstDash val="solid"/>
              <a:round/>
            </a:ln>
          </c:spPr>
          <c:marker>
            <c:symbol val="none"/>
          </c:marker>
          <c:xVal>
            <c:numRef>
              <c:f>'1 Ohm'!$Q$3:$Q$17</c:f>
              <c:numCache>
                <c:formatCode>0</c:formatCode>
                <c:ptCount val="15"/>
                <c:pt idx="0">
                  <c:v>0</c:v>
                </c:pt>
                <c:pt idx="1">
                  <c:v>232</c:v>
                </c:pt>
                <c:pt idx="2">
                  <c:v>428</c:v>
                </c:pt>
                <c:pt idx="3">
                  <c:v>651</c:v>
                </c:pt>
                <c:pt idx="4">
                  <c:v>822</c:v>
                </c:pt>
                <c:pt idx="5">
                  <c:v>966</c:v>
                </c:pt>
                <c:pt idx="6">
                  <c:v>1311</c:v>
                </c:pt>
                <c:pt idx="7">
                  <c:v>1562</c:v>
                </c:pt>
                <c:pt idx="8">
                  <c:v>1794</c:v>
                </c:pt>
                <c:pt idx="9">
                  <c:v>2001</c:v>
                </c:pt>
                <c:pt idx="10">
                  <c:v>2233</c:v>
                </c:pt>
                <c:pt idx="11">
                  <c:v>2449</c:v>
                </c:pt>
                <c:pt idx="12">
                  <c:v>2708</c:v>
                </c:pt>
                <c:pt idx="13">
                  <c:v>2981</c:v>
                </c:pt>
                <c:pt idx="14">
                  <c:v>3278</c:v>
                </c:pt>
              </c:numCache>
            </c:numRef>
          </c:xVal>
          <c:yVal>
            <c:numRef>
              <c:f>'1 Ohm'!$W$3:$W$17</c:f>
              <c:numCache>
                <c:formatCode>0.00000000</c:formatCode>
                <c:ptCount val="15"/>
                <c:pt idx="0">
                  <c:v>1.0000089842563293</c:v>
                </c:pt>
                <c:pt idx="1">
                  <c:v>1.0000092081906193</c:v>
                </c:pt>
                <c:pt idx="2">
                  <c:v>1.0000093959186478</c:v>
                </c:pt>
                <c:pt idx="3">
                  <c:v>1.0000096077974581</c:v>
                </c:pt>
                <c:pt idx="4">
                  <c:v>1.0000097689873886</c:v>
                </c:pt>
                <c:pt idx="5">
                  <c:v>1.0000099038375003</c:v>
                </c:pt>
                <c:pt idx="6">
                  <c:v>1.0000102235253014</c:v>
                </c:pt>
                <c:pt idx="7">
                  <c:v>1.0000104530556717</c:v>
                </c:pt>
                <c:pt idx="8">
                  <c:v>1.0000106629190992</c:v>
                </c:pt>
                <c:pt idx="9">
                  <c:v>1.0000108483317773</c:v>
                </c:pt>
                <c:pt idx="10">
                  <c:v>1.0000110541275409</c:v>
                </c:pt>
                <c:pt idx="11">
                  <c:v>1.000011243884144</c:v>
                </c:pt>
                <c:pt idx="12">
                  <c:v>1.0000114691771707</c:v>
                </c:pt>
                <c:pt idx="13">
                  <c:v>1.0000117041611973</c:v>
                </c:pt>
                <c:pt idx="14">
                  <c:v>1.0000119571248405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DE-4FCA-A58D-CBB815CDB1CF}"/>
            </c:ext>
          </c:extLst>
        </c:ser>
        <c:ser>
          <c:idx val="3"/>
          <c:order val="3"/>
          <c:tx>
            <c:v>Upper Bound</c:v>
          </c:tx>
          <c:spPr>
            <a:ln w="9525" cap="rnd">
              <a:solidFill>
                <a:schemeClr val="bg1"/>
              </a:solidFill>
              <a:prstDash val="solid"/>
              <a:round/>
            </a:ln>
          </c:spPr>
          <c:marker>
            <c:symbol val="none"/>
          </c:marker>
          <c:xVal>
            <c:numRef>
              <c:f>'1 Ohm'!$Q$3:$Q$17</c:f>
              <c:numCache>
                <c:formatCode>0</c:formatCode>
                <c:ptCount val="15"/>
                <c:pt idx="0">
                  <c:v>0</c:v>
                </c:pt>
                <c:pt idx="1">
                  <c:v>232</c:v>
                </c:pt>
                <c:pt idx="2">
                  <c:v>428</c:v>
                </c:pt>
                <c:pt idx="3">
                  <c:v>651</c:v>
                </c:pt>
                <c:pt idx="4">
                  <c:v>822</c:v>
                </c:pt>
                <c:pt idx="5">
                  <c:v>966</c:v>
                </c:pt>
                <c:pt idx="6">
                  <c:v>1311</c:v>
                </c:pt>
                <c:pt idx="7">
                  <c:v>1562</c:v>
                </c:pt>
                <c:pt idx="8">
                  <c:v>1794</c:v>
                </c:pt>
                <c:pt idx="9">
                  <c:v>2001</c:v>
                </c:pt>
                <c:pt idx="10">
                  <c:v>2233</c:v>
                </c:pt>
                <c:pt idx="11">
                  <c:v>2449</c:v>
                </c:pt>
                <c:pt idx="12">
                  <c:v>2708</c:v>
                </c:pt>
                <c:pt idx="13">
                  <c:v>2981</c:v>
                </c:pt>
                <c:pt idx="14">
                  <c:v>3278</c:v>
                </c:pt>
              </c:numCache>
            </c:numRef>
          </c:xVal>
          <c:yVal>
            <c:numRef>
              <c:f>'1 Ohm'!$X$3:$X$17</c:f>
              <c:numCache>
                <c:formatCode>0.00000000</c:formatCode>
                <c:ptCount val="15"/>
                <c:pt idx="0">
                  <c:v>1.0000101109042057</c:v>
                </c:pt>
                <c:pt idx="1">
                  <c:v>1.0000103112443512</c:v>
                </c:pt>
                <c:pt idx="2">
                  <c:v>1.0000104819550699</c:v>
                </c:pt>
                <c:pt idx="3">
                  <c:v>1.000010677891773</c:v>
                </c:pt>
                <c:pt idx="4">
                  <c:v>1.0000108294213617</c:v>
                </c:pt>
                <c:pt idx="5">
                  <c:v>1.0000109579140033</c:v>
                </c:pt>
                <c:pt idx="6">
                  <c:v>1.0000112691515479</c:v>
                </c:pt>
                <c:pt idx="7">
                  <c:v>1.0000114986422264</c:v>
                </c:pt>
                <c:pt idx="8">
                  <c:v>1.0000117130532344</c:v>
                </c:pt>
                <c:pt idx="9">
                  <c:v>1.000011906195764</c:v>
                </c:pt>
                <c:pt idx="10">
                  <c:v>1.000012124674436</c:v>
                </c:pt>
                <c:pt idx="11">
                  <c:v>1.0000123299319623</c:v>
                </c:pt>
                <c:pt idx="12">
                  <c:v>1.0000125782901375</c:v>
                </c:pt>
                <c:pt idx="13">
                  <c:v>1.0000128425600801</c:v>
                </c:pt>
                <c:pt idx="14">
                  <c:v>1.000013132740865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DE-4FCA-A58D-CBB815CD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92688"/>
        <c:axId val="166696432"/>
      </c:scatterChart>
      <c:valAx>
        <c:axId val="16669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96432"/>
        <c:crosses val="autoZero"/>
        <c:crossBetween val="midCat"/>
      </c:valAx>
      <c:valAx>
        <c:axId val="166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10000"/>
                  <a:lumMod val="95000"/>
                </a:schemeClr>
              </a:solidFill>
              <a:prstDash val="solid"/>
              <a:round/>
            </a:ln>
          </c:spPr>
        </c:majorGridlines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9268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gradFill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328071</xdr:colOff>
      <xdr:row>14</xdr:row>
      <xdr:rowOff>128376</xdr:rowOff>
    </xdr:from>
    <xdr:to>
      <xdr:col>7</xdr:col>
      <xdr:colOff>622911</xdr:colOff>
      <xdr:row>33</xdr:row>
      <xdr:rowOff>11613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299520</xdr:colOff>
      <xdr:row>14</xdr:row>
      <xdr:rowOff>122400</xdr:rowOff>
    </xdr:from>
    <xdr:to>
      <xdr:col>22</xdr:col>
      <xdr:colOff>683640</xdr:colOff>
      <xdr:row>33</xdr:row>
      <xdr:rowOff>16920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28</xdr:col>
      <xdr:colOff>718560</xdr:colOff>
      <xdr:row>27</xdr:row>
      <xdr:rowOff>127440</xdr:rowOff>
    </xdr:from>
    <xdr:to>
      <xdr:col>37</xdr:col>
      <xdr:colOff>578520</xdr:colOff>
      <xdr:row>49</xdr:row>
      <xdr:rowOff>101520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754623</xdr:colOff>
      <xdr:row>26</xdr:row>
      <xdr:rowOff>71316</xdr:rowOff>
    </xdr:from>
    <xdr:to>
      <xdr:col>9</xdr:col>
      <xdr:colOff>28818</xdr:colOff>
      <xdr:row>47</xdr:row>
      <xdr:rowOff>85970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609600</xdr:colOff>
      <xdr:row>20</xdr:row>
      <xdr:rowOff>124778</xdr:rowOff>
    </xdr:from>
    <xdr:to>
      <xdr:col>22</xdr:col>
      <xdr:colOff>66675</xdr:colOff>
      <xdr:row>41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8ED973"/>
  </sheetPr>
  <dimension ref="A1:AM30"/>
  <sheetViews>
    <sheetView zoomScale="110" zoomScaleNormal="110" workbookViewId="0">
      <selection activeCell="O7" sqref="O7"/>
    </sheetView>
  </sheetViews>
  <sheetFormatPr defaultColWidth="8.85546875" defaultRowHeight="15" x14ac:dyDescent="0.25"/>
  <cols>
    <col min="1" max="1" width="11.42578125" style="1" customWidth="1"/>
    <col min="2" max="2" width="18.140625" style="1" customWidth="1"/>
    <col min="3" max="3" width="17.42578125" style="1" customWidth="1"/>
    <col min="4" max="4" width="9.42578125" style="1" customWidth="1"/>
    <col min="5" max="5" width="11.140625" style="1" customWidth="1"/>
    <col min="6" max="6" width="13.42578125" style="1" customWidth="1"/>
    <col min="7" max="7" width="8.42578125" style="1" customWidth="1"/>
    <col min="8" max="8" width="10.140625" customWidth="1"/>
    <col min="9" max="10" width="11.5703125" customWidth="1"/>
    <col min="11" max="11" width="1" customWidth="1"/>
    <col min="12" max="12" width="9.42578125" customWidth="1"/>
    <col min="13" max="13" width="11.5703125" customWidth="1"/>
    <col min="14" max="14" width="1" customWidth="1"/>
    <col min="15" max="15" width="11.42578125" style="1" customWidth="1"/>
    <col min="16" max="16" width="18.140625" style="1" customWidth="1"/>
    <col min="17" max="17" width="17.28515625" style="1" customWidth="1"/>
    <col min="18" max="18" width="10.140625" style="1" customWidth="1"/>
    <col min="19" max="19" width="11.42578125" style="1" customWidth="1"/>
    <col min="20" max="20" width="14.42578125" style="1" customWidth="1"/>
    <col min="21" max="21" width="8.28515625" style="1" customWidth="1"/>
    <col min="22" max="22" width="11" style="1" customWidth="1"/>
    <col min="23" max="23" width="10.5703125" style="1" customWidth="1"/>
    <col min="24" max="24" width="10.140625" style="1" customWidth="1"/>
    <col min="25" max="25" width="1" style="1" customWidth="1"/>
    <col min="26" max="26" width="9.42578125" style="1" customWidth="1"/>
    <col min="27" max="27" width="11.5703125" style="1" customWidth="1"/>
    <col min="28" max="28" width="1" style="1" customWidth="1"/>
    <col min="29" max="29" width="11.42578125" style="1" customWidth="1"/>
    <col min="30" max="30" width="16.5703125" style="1" customWidth="1"/>
    <col min="31" max="31" width="17.28515625" style="1" customWidth="1"/>
    <col min="32" max="32" width="9.42578125" style="1" customWidth="1"/>
    <col min="33" max="33" width="11.140625" style="1" customWidth="1"/>
    <col min="34" max="34" width="13.42578125" style="1" customWidth="1"/>
    <col min="35" max="35" width="8.28515625" style="1" customWidth="1"/>
    <col min="36" max="36" width="11.42578125" style="1" customWidth="1"/>
    <col min="37" max="37" width="10.5703125" style="1" customWidth="1"/>
    <col min="38" max="38" width="10.140625" style="1" customWidth="1"/>
    <col min="39" max="39" width="8.85546875" style="1" customWidth="1"/>
    <col min="40" max="40" width="12.140625" style="1" customWidth="1"/>
    <col min="41" max="44" width="8.85546875" style="1" customWidth="1"/>
    <col min="45" max="16384" width="8.85546875" style="1"/>
  </cols>
  <sheetData>
    <row r="1" spans="1:38" ht="12" customHeight="1" x14ac:dyDescent="0.25">
      <c r="A1" s="2"/>
      <c r="B1" s="3" t="s">
        <v>21</v>
      </c>
      <c r="C1" s="4" t="s">
        <v>22</v>
      </c>
      <c r="D1" s="4">
        <v>73137</v>
      </c>
      <c r="E1" s="2"/>
      <c r="F1" s="2"/>
      <c r="G1" s="2"/>
      <c r="H1" s="55" t="s">
        <v>2</v>
      </c>
      <c r="I1" s="52"/>
      <c r="J1" s="52"/>
      <c r="K1" s="5"/>
      <c r="L1" s="56" t="s">
        <v>23</v>
      </c>
      <c r="M1" s="54"/>
      <c r="N1" s="5"/>
      <c r="O1" s="2"/>
      <c r="P1" s="3" t="s">
        <v>24</v>
      </c>
      <c r="Q1" s="4" t="s">
        <v>25</v>
      </c>
      <c r="R1" s="4">
        <v>1692418</v>
      </c>
      <c r="S1" s="2"/>
      <c r="T1" s="2"/>
      <c r="U1" s="2"/>
      <c r="V1" s="55" t="s">
        <v>2</v>
      </c>
      <c r="W1" s="52"/>
      <c r="X1" s="52"/>
      <c r="Y1" s="5"/>
      <c r="Z1" s="56" t="s">
        <v>26</v>
      </c>
      <c r="AA1" s="54"/>
      <c r="AB1" s="5"/>
      <c r="AC1" s="2"/>
      <c r="AD1" s="3" t="s">
        <v>27</v>
      </c>
      <c r="AE1" s="4" t="s">
        <v>28</v>
      </c>
      <c r="AF1" s="4">
        <v>74076</v>
      </c>
      <c r="AG1" s="2"/>
      <c r="AH1" s="2"/>
      <c r="AI1" s="2"/>
      <c r="AJ1" s="55" t="s">
        <v>2</v>
      </c>
      <c r="AK1" s="52"/>
      <c r="AL1" s="52"/>
    </row>
    <row r="2" spans="1:38" ht="12.75" customHeight="1" x14ac:dyDescent="0.25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6" t="s">
        <v>29</v>
      </c>
      <c r="G2" s="3" t="s">
        <v>11</v>
      </c>
      <c r="H2" s="7" t="s">
        <v>12</v>
      </c>
      <c r="I2" s="7" t="s">
        <v>13</v>
      </c>
      <c r="J2" s="7" t="s">
        <v>14</v>
      </c>
      <c r="K2" s="5"/>
      <c r="L2" s="8" t="s">
        <v>15</v>
      </c>
      <c r="M2" s="9">
        <f>COUNTA($F:$F)-2</f>
        <v>9</v>
      </c>
      <c r="N2" s="5"/>
      <c r="O2" s="3" t="s">
        <v>5</v>
      </c>
      <c r="P2" s="3" t="s">
        <v>6</v>
      </c>
      <c r="Q2" s="3" t="s">
        <v>7</v>
      </c>
      <c r="R2" s="3" t="s">
        <v>8</v>
      </c>
      <c r="S2" s="3" t="s">
        <v>9</v>
      </c>
      <c r="T2" s="6" t="s">
        <v>29</v>
      </c>
      <c r="U2" s="3" t="s">
        <v>11</v>
      </c>
      <c r="V2" s="7" t="s">
        <v>12</v>
      </c>
      <c r="W2" s="7" t="s">
        <v>13</v>
      </c>
      <c r="X2" s="7" t="s">
        <v>14</v>
      </c>
      <c r="Y2" s="5"/>
      <c r="Z2" s="8" t="s">
        <v>15</v>
      </c>
      <c r="AA2" s="9">
        <f>COUNTA($AH:$AH)-3</f>
        <v>22</v>
      </c>
      <c r="AB2" s="5"/>
      <c r="AC2" s="3" t="s">
        <v>5</v>
      </c>
      <c r="AD2" s="3" t="s">
        <v>6</v>
      </c>
      <c r="AE2" s="3" t="s">
        <v>7</v>
      </c>
      <c r="AF2" s="3" t="s">
        <v>8</v>
      </c>
      <c r="AG2" s="3" t="s">
        <v>9</v>
      </c>
      <c r="AH2" s="6" t="s">
        <v>29</v>
      </c>
      <c r="AI2" s="3" t="s">
        <v>11</v>
      </c>
      <c r="AJ2" s="7" t="s">
        <v>12</v>
      </c>
      <c r="AK2" s="7" t="s">
        <v>13</v>
      </c>
      <c r="AL2" s="7" t="s">
        <v>14</v>
      </c>
    </row>
    <row r="3" spans="1:38" ht="12" customHeight="1" x14ac:dyDescent="0.25">
      <c r="A3" s="10">
        <v>43971</v>
      </c>
      <c r="B3" s="11">
        <v>0</v>
      </c>
      <c r="C3" s="11">
        <v>0</v>
      </c>
      <c r="D3" s="12">
        <f t="shared" ref="D3:D12" si="0">(F3-0.1)/0.1*1000000</f>
        <v>3.339999999907306</v>
      </c>
      <c r="E3" s="12"/>
      <c r="F3" s="13">
        <v>0.100000334</v>
      </c>
      <c r="G3" s="14">
        <v>9.6999999999999995E-8</v>
      </c>
      <c r="H3" s="15">
        <f t="shared" ref="H3:H12" ca="1" si="1">_xlfn.FORECAST.LINEAR($C3,known_ys_PN010069,Known_xs_PN010069)</f>
        <v>0.10000034388592413</v>
      </c>
      <c r="I3" s="15">
        <f t="array" aca="1" ref="I3" ca="1">$H3-ABS(_xlfn.T.INV(0.025,df_PN010069))*(Syx_PN010069*SQRT(1+1/n_PN010069+($C3-XBar_PN010069)^2/SSx_PN010069))</f>
        <v>0.1000001160742225</v>
      </c>
      <c r="J3" s="15">
        <f t="shared" ref="J3:J12" ca="1" si="2">$H3+ABS(_xlfn.T.INV(0.025,df_PN010069))*(Syx_PN010069*SQRT(1+1/n_PN010069+($C3-XBar_PN010069)^2/SSx_PN010069))</f>
        <v>0.10000057169762576</v>
      </c>
      <c r="K3" s="5"/>
      <c r="L3" s="8" t="s">
        <v>16</v>
      </c>
      <c r="M3" s="9">
        <f t="array" ref="M3">n_PN010069-2</f>
        <v>7</v>
      </c>
      <c r="N3" s="5"/>
      <c r="O3" s="10">
        <v>43689</v>
      </c>
      <c r="P3" s="11">
        <v>0</v>
      </c>
      <c r="Q3" s="11">
        <v>0</v>
      </c>
      <c r="R3" s="12">
        <f t="shared" ref="R3:R14" si="3">(T3-0.1)/0.1*1000000</f>
        <v>933.27999999989754</v>
      </c>
      <c r="S3" s="12"/>
      <c r="T3" s="13">
        <v>0.100093328</v>
      </c>
      <c r="U3" s="14">
        <v>9.6999999999999995E-8</v>
      </c>
      <c r="V3" s="15">
        <f t="shared" ref="V3:V14" ca="1" si="4">_xlfn.FORECAST.LINEAR($Q3,known_ys_PN010034,known_xs_PN010034)</f>
        <v>0.10003433789228301</v>
      </c>
      <c r="W3" s="15">
        <f t="shared" ref="W3:W14" ca="1" si="5">$V3-ABS(_xlfn.T.INV(0.025,df_PN010034))*(Syx_PN010034*SQRT(1+1/n_PN010034+($Q3-XBar_PN010034)^2/SSx_PN010034))</f>
        <v>9.9968997882786126E-2</v>
      </c>
      <c r="X3" s="15">
        <f t="shared" ref="X3:X14" ca="1" si="6">$V3+ABS(_xlfn.T.INV(0.025,df_PN010034))*(Syx_PN010034*SQRT(1+1/n_PN010034+($Q3-XBar_PN010034)^2/SSx_PN010034))</f>
        <v>0.1000996779017799</v>
      </c>
      <c r="Y3" s="5"/>
      <c r="Z3" s="8" t="s">
        <v>16</v>
      </c>
      <c r="AA3" s="9">
        <f>n_EQ358990-2</f>
        <v>20</v>
      </c>
      <c r="AB3" s="5"/>
      <c r="AC3" s="10">
        <v>45097</v>
      </c>
      <c r="AD3" s="11">
        <v>0</v>
      </c>
      <c r="AE3" s="11">
        <v>0</v>
      </c>
      <c r="AF3" s="12">
        <f t="shared" ref="AF3:AF26" si="7">(AH3-0.1)/0.1*1000000</f>
        <v>-6.234268399990528</v>
      </c>
      <c r="AG3" s="12"/>
      <c r="AH3" s="13">
        <v>9.9999376573160006E-2</v>
      </c>
      <c r="AI3" s="14">
        <f t="shared" ref="AI3:AI26" si="8">0.00000061*0.1</f>
        <v>6.1000000000000004E-8</v>
      </c>
      <c r="AJ3" s="16">
        <f t="shared" ref="AJ3:AJ26" ca="1" si="9">_xlfn.FORECAST.LINEAR($AE3,Known_ys_EQ358990,Known_xs_EQ358990)</f>
        <v>9.9999387999035225E-2</v>
      </c>
      <c r="AK3" s="1">
        <f t="shared" ref="AK3:AK26" ca="1" si="10">$AJ3-ABS(_xlfn.T.INV(0.025,df_EQ358990))*(Syx_EQ358990*SQRT(1+1/n_EQ358990+($AE3-XBar_EQ358990)^2/SSx_EQ358990))</f>
        <v>9.9999360354041014E-2</v>
      </c>
      <c r="AL3" s="1">
        <f t="shared" ref="AL3:AL26" ca="1" si="11">$AJ3+ABS(_xlfn.T.INV(0.025,df_EQ358990))*(Syx_EQ358990*SQRT(1+1/n_EQ358990+($AE3-XBar_EQ358990)^2/SSx_EQ358990))</f>
        <v>9.9999415644029435E-2</v>
      </c>
    </row>
    <row r="4" spans="1:38" ht="12" customHeight="1" x14ac:dyDescent="0.25">
      <c r="A4" s="10">
        <v>44322</v>
      </c>
      <c r="B4" s="11">
        <f t="shared" ref="B4:B12" si="12">A4-A3</f>
        <v>351</v>
      </c>
      <c r="C4" s="11">
        <f>SUM(B$4:B4)</f>
        <v>351</v>
      </c>
      <c r="D4" s="12">
        <f t="shared" si="0"/>
        <v>4.0299999999604541</v>
      </c>
      <c r="E4" s="17">
        <f t="shared" ref="E4:E12" si="13">D4-D3</f>
        <v>0.6900000000531481</v>
      </c>
      <c r="F4" s="13">
        <v>0.100000403</v>
      </c>
      <c r="G4" s="14">
        <v>9.6999999999999995E-8</v>
      </c>
      <c r="H4" s="15">
        <f t="shared" ca="1" si="1"/>
        <v>0.10000040926558511</v>
      </c>
      <c r="I4" s="15">
        <f t="array" aca="1" ref="I4" ca="1">$H4-ABS(_xlfn.T.INV(0.025,df_PN010069))*(Syx_PN010069*SQRT(1+1/n_PN010069+($C4-XBar_PN010069)^2/SSx_PN010069))</f>
        <v>0.10000019532293837</v>
      </c>
      <c r="J4" s="15">
        <f t="shared" ca="1" si="2"/>
        <v>0.10000062320823185</v>
      </c>
      <c r="K4" s="5"/>
      <c r="L4" s="8" t="s">
        <v>17</v>
      </c>
      <c r="M4" s="18">
        <f ca="1">AVERAGE(OFFSET($C$3,,,COUNTA($C:$C)-3))</f>
        <v>1033.7777777777778</v>
      </c>
      <c r="N4" s="5"/>
      <c r="O4" s="10">
        <v>43836</v>
      </c>
      <c r="P4" s="11">
        <f t="shared" ref="P4:P14" si="14">O4-O3</f>
        <v>147</v>
      </c>
      <c r="Q4" s="11">
        <f>SUM(P$4:P4)</f>
        <v>147</v>
      </c>
      <c r="R4" s="12">
        <f t="shared" si="3"/>
        <v>-18.950000000017564</v>
      </c>
      <c r="S4" s="17">
        <f t="shared" ref="S4:S14" si="15">R4-R3</f>
        <v>-952.22999999991509</v>
      </c>
      <c r="T4" s="13">
        <v>9.9998105000000004E-2</v>
      </c>
      <c r="U4" s="14">
        <v>9.6999999999999995E-8</v>
      </c>
      <c r="V4" s="15">
        <f t="shared" ca="1" si="4"/>
        <v>0.10003069290598528</v>
      </c>
      <c r="W4" s="15">
        <f t="shared" ca="1" si="5"/>
        <v>9.9966819940769225E-2</v>
      </c>
      <c r="X4" s="15">
        <f t="shared" ca="1" si="6"/>
        <v>0.10009456587120133</v>
      </c>
      <c r="Y4" s="5"/>
      <c r="Z4" s="8" t="s">
        <v>17</v>
      </c>
      <c r="AA4" s="18">
        <f ca="1">AVERAGE(Known_xs_EQ358990)</f>
        <v>48.863636363636367</v>
      </c>
      <c r="AB4" s="5"/>
      <c r="AC4" s="10">
        <v>45098</v>
      </c>
      <c r="AD4" s="11">
        <f t="shared" ref="AD4:AD26" si="16">AC4-AC3</f>
        <v>1</v>
      </c>
      <c r="AE4" s="11">
        <f>SUM(AD$4:AD4)</f>
        <v>1</v>
      </c>
      <c r="AF4" s="12">
        <f t="shared" si="7"/>
        <v>-6.3194449000103514</v>
      </c>
      <c r="AG4" s="17">
        <f t="shared" ref="AG4:AG26" si="17">AF4-AF3</f>
        <v>-8.5176500019823465E-2</v>
      </c>
      <c r="AH4" s="13">
        <v>9.9999368055510005E-2</v>
      </c>
      <c r="AI4" s="14">
        <f t="shared" si="8"/>
        <v>6.1000000000000004E-8</v>
      </c>
      <c r="AJ4" s="16">
        <f t="shared" ca="1" si="9"/>
        <v>9.9999387448412816E-2</v>
      </c>
      <c r="AK4" s="1">
        <f t="shared" ca="1" si="10"/>
        <v>9.9999359808231256E-2</v>
      </c>
      <c r="AL4" s="1">
        <f t="shared" ca="1" si="11"/>
        <v>9.9999415088594376E-2</v>
      </c>
    </row>
    <row r="5" spans="1:38" ht="12" customHeight="1" x14ac:dyDescent="0.25">
      <c r="A5" s="10">
        <v>44550</v>
      </c>
      <c r="B5" s="11">
        <f t="shared" si="12"/>
        <v>228</v>
      </c>
      <c r="C5" s="11">
        <f>SUM(B$4:B5)</f>
        <v>579</v>
      </c>
      <c r="D5" s="12">
        <f t="shared" si="0"/>
        <v>3.9300000000130897</v>
      </c>
      <c r="E5" s="17">
        <f t="shared" si="13"/>
        <v>-9.9999999947364415E-2</v>
      </c>
      <c r="F5" s="13">
        <v>0.10000039300000001</v>
      </c>
      <c r="G5" s="14">
        <v>9.6999999999999995E-8</v>
      </c>
      <c r="H5" s="15">
        <f t="shared" ca="1" si="1"/>
        <v>0.10000045173442472</v>
      </c>
      <c r="I5" s="15">
        <f t="array" aca="1" ref="I5" ca="1">$H5-ABS(_xlfn.T.INV(0.025,df_PN010069))*(Syx_PN010069*SQRT(1+1/n_PN010069+($C5-XBar_PN010069)^2/SSx_PN010069))</f>
        <v>0.1000002440469397</v>
      </c>
      <c r="J5" s="15">
        <f t="shared" ca="1" si="2"/>
        <v>0.10000065942190974</v>
      </c>
      <c r="K5" s="5"/>
      <c r="L5" s="8" t="s">
        <v>18</v>
      </c>
      <c r="M5" s="18">
        <f ca="1">STEYX(OFFSET($F$3,,,n_PN010069),OFFSET($C$3,,,n_PN010069))</f>
        <v>8.1267161004785257E-8</v>
      </c>
      <c r="N5" s="5"/>
      <c r="O5" s="10">
        <v>44176</v>
      </c>
      <c r="P5" s="11">
        <f t="shared" si="14"/>
        <v>340</v>
      </c>
      <c r="Q5" s="11">
        <f>SUM(P$4:P5)</f>
        <v>487</v>
      </c>
      <c r="R5" s="12">
        <f t="shared" si="3"/>
        <v>-28.140000000037581</v>
      </c>
      <c r="S5" s="17">
        <f t="shared" si="15"/>
        <v>-9.1900000000200173</v>
      </c>
      <c r="T5" s="13">
        <v>9.9997186000000002E-2</v>
      </c>
      <c r="U5" s="14">
        <v>9.6999999999999995E-8</v>
      </c>
      <c r="V5" s="15">
        <f t="shared" ca="1" si="4"/>
        <v>0.1000222623254327</v>
      </c>
      <c r="W5" s="15">
        <f t="shared" ca="1" si="5"/>
        <v>9.9961007009020428E-2</v>
      </c>
      <c r="X5" s="15">
        <f t="shared" ca="1" si="6"/>
        <v>0.10008351764184496</v>
      </c>
      <c r="Y5" s="5"/>
      <c r="Z5" s="8" t="s">
        <v>18</v>
      </c>
      <c r="AA5" s="18">
        <f ca="1">STEYX(Known_ys_EQ358990,Known_xs_EQ358990)</f>
        <v>1.2905744362244604E-8</v>
      </c>
      <c r="AB5" s="5"/>
      <c r="AC5" s="10">
        <v>45099</v>
      </c>
      <c r="AD5" s="11">
        <f t="shared" si="16"/>
        <v>1</v>
      </c>
      <c r="AE5" s="11">
        <f>SUM(AD$4:AD5)</f>
        <v>2</v>
      </c>
      <c r="AF5" s="12">
        <f t="shared" si="7"/>
        <v>-6.2621224999892533</v>
      </c>
      <c r="AG5" s="17">
        <f t="shared" si="17"/>
        <v>5.7322400021098119E-2</v>
      </c>
      <c r="AH5" s="13">
        <v>9.9999373787750007E-2</v>
      </c>
      <c r="AI5" s="14">
        <f t="shared" si="8"/>
        <v>6.1000000000000004E-8</v>
      </c>
      <c r="AJ5" s="16">
        <f t="shared" ca="1" si="9"/>
        <v>9.9999386897790421E-2</v>
      </c>
      <c r="AK5" s="1">
        <f t="shared" ca="1" si="10"/>
        <v>9.9999359262322826E-2</v>
      </c>
      <c r="AL5" s="1">
        <f t="shared" ca="1" si="11"/>
        <v>9.9999414533258016E-2</v>
      </c>
    </row>
    <row r="6" spans="1:38" ht="12" customHeight="1" x14ac:dyDescent="0.25">
      <c r="A6" s="10">
        <v>44770</v>
      </c>
      <c r="B6" s="11">
        <f t="shared" si="12"/>
        <v>220</v>
      </c>
      <c r="C6" s="11">
        <f>SUM(B$4:B6)</f>
        <v>799</v>
      </c>
      <c r="D6" s="12">
        <f t="shared" si="0"/>
        <v>6.3999999999619916</v>
      </c>
      <c r="E6" s="17">
        <f t="shared" si="13"/>
        <v>2.469999999948902</v>
      </c>
      <c r="F6" s="13">
        <v>0.10000064</v>
      </c>
      <c r="G6" s="14">
        <v>9.6999999999999995E-8</v>
      </c>
      <c r="H6" s="15">
        <f t="shared" ca="1" si="1"/>
        <v>0.10000049271312959</v>
      </c>
      <c r="I6" s="15">
        <f t="array" aca="1" ref="I6" ca="1">$H6-ABS(_xlfn.T.INV(0.025,df_PN010069))*(Syx_PN010069*SQRT(1+1/n_PN010069+($C6-XBar_PN010069)^2/SSx_PN010069))</f>
        <v>0.10000028877322009</v>
      </c>
      <c r="J6" s="15">
        <f t="shared" ca="1" si="2"/>
        <v>0.1000006966530391</v>
      </c>
      <c r="K6" s="5"/>
      <c r="L6" s="8" t="s">
        <v>19</v>
      </c>
      <c r="M6" s="18">
        <f ca="1">DEVSQ(OFFSET($C$3,,,n_PN010069))</f>
        <v>3631547.555555556</v>
      </c>
      <c r="N6" s="5"/>
      <c r="O6" s="10">
        <v>44442</v>
      </c>
      <c r="P6" s="11">
        <f t="shared" si="14"/>
        <v>266</v>
      </c>
      <c r="Q6" s="11">
        <f>SUM(P$4:P6)</f>
        <v>753</v>
      </c>
      <c r="R6" s="12">
        <f t="shared" si="3"/>
        <v>181.64000000001067</v>
      </c>
      <c r="S6" s="17">
        <f t="shared" si="15"/>
        <v>209.78000000004826</v>
      </c>
      <c r="T6" s="13">
        <v>0.10001816400000001</v>
      </c>
      <c r="U6" s="14">
        <v>9.6999999999999995E-8</v>
      </c>
      <c r="V6" s="15">
        <f t="shared" ca="1" si="4"/>
        <v>0.10001566663594155</v>
      </c>
      <c r="W6" s="15">
        <f t="shared" ca="1" si="5"/>
        <v>9.995563395262963E-2</v>
      </c>
      <c r="X6" s="15">
        <f t="shared" ca="1" si="6"/>
        <v>0.10007569931925347</v>
      </c>
      <c r="Y6" s="5"/>
      <c r="Z6" s="8" t="s">
        <v>19</v>
      </c>
      <c r="AA6" s="18">
        <f ca="1">DEVSQ(Known_xs_EQ358990)</f>
        <v>263472.59090909088</v>
      </c>
      <c r="AB6" s="5"/>
      <c r="AC6" s="10">
        <v>45099</v>
      </c>
      <c r="AD6" s="11">
        <f t="shared" si="16"/>
        <v>0</v>
      </c>
      <c r="AE6" s="11">
        <f>SUM(AD$4:AD6)</f>
        <v>2</v>
      </c>
      <c r="AF6" s="12">
        <f t="shared" si="7"/>
        <v>-6.0538307000701508</v>
      </c>
      <c r="AG6" s="17">
        <f t="shared" si="17"/>
        <v>0.20829179991910252</v>
      </c>
      <c r="AH6" s="13">
        <v>9.9999394616929999E-2</v>
      </c>
      <c r="AI6" s="14">
        <f t="shared" si="8"/>
        <v>6.1000000000000004E-8</v>
      </c>
      <c r="AJ6" s="16">
        <f t="shared" ca="1" si="9"/>
        <v>9.9999386897790421E-2</v>
      </c>
      <c r="AK6" s="1">
        <f t="shared" ca="1" si="10"/>
        <v>9.9999359262322826E-2</v>
      </c>
      <c r="AL6" s="1">
        <f t="shared" ca="1" si="11"/>
        <v>9.9999414533258016E-2</v>
      </c>
    </row>
    <row r="7" spans="1:38" x14ac:dyDescent="0.25">
      <c r="A7" s="10">
        <v>44968</v>
      </c>
      <c r="B7" s="11">
        <f t="shared" si="12"/>
        <v>198</v>
      </c>
      <c r="C7" s="11">
        <f>SUM(B$4:B7)</f>
        <v>997</v>
      </c>
      <c r="D7" s="12">
        <f t="shared" si="0"/>
        <v>4.5099999999853591</v>
      </c>
      <c r="E7" s="17">
        <f t="shared" si="13"/>
        <v>-1.8899999999766326</v>
      </c>
      <c r="F7" s="13">
        <v>0.100000451</v>
      </c>
      <c r="G7" s="14">
        <v>9.6999999999999995E-8</v>
      </c>
      <c r="H7" s="15">
        <f t="shared" ca="1" si="1"/>
        <v>0.10000052959396399</v>
      </c>
      <c r="I7" s="15">
        <f t="array" aca="1" ref="I7" ca="1">$H7-ABS(_xlfn.T.INV(0.025,df_PN010069))*(Syx_PN010069*SQRT(1+1/n_PN010069+($C7-XBar_PN010069)^2/SSx_PN010069))</f>
        <v>0.10000032699895062</v>
      </c>
      <c r="J7" s="15">
        <f t="shared" ca="1" si="2"/>
        <v>0.10000073218897737</v>
      </c>
      <c r="K7" s="5"/>
      <c r="L7" s="5"/>
      <c r="M7" s="5"/>
      <c r="N7" s="5"/>
      <c r="O7" s="10">
        <v>44446</v>
      </c>
      <c r="P7" s="11">
        <f t="shared" si="14"/>
        <v>4</v>
      </c>
      <c r="Q7" s="11">
        <f>SUM(P$4:P7)</f>
        <v>757</v>
      </c>
      <c r="R7" s="12">
        <f t="shared" si="3"/>
        <v>181.61999999988242</v>
      </c>
      <c r="S7" s="17">
        <f t="shared" si="15"/>
        <v>-2.0000000128248985E-2</v>
      </c>
      <c r="T7" s="13">
        <v>0.10001816199999999</v>
      </c>
      <c r="U7" s="14">
        <v>9.6999999999999995E-8</v>
      </c>
      <c r="V7" s="15">
        <f t="shared" ca="1" si="4"/>
        <v>0.10001556745264094</v>
      </c>
      <c r="W7" s="15">
        <f t="shared" ca="1" si="5"/>
        <v>9.9955547318762286E-2</v>
      </c>
      <c r="X7" s="15">
        <f t="shared" ca="1" si="6"/>
        <v>0.10007558758651959</v>
      </c>
      <c r="Y7" s="19"/>
      <c r="Z7" s="19"/>
      <c r="AA7" s="19"/>
      <c r="AB7" s="19"/>
      <c r="AC7" s="10">
        <v>45102</v>
      </c>
      <c r="AD7" s="11">
        <f t="shared" si="16"/>
        <v>3</v>
      </c>
      <c r="AE7" s="11">
        <f>SUM(AD$4:AD7)</f>
        <v>5</v>
      </c>
      <c r="AF7" s="12">
        <f t="shared" si="7"/>
        <v>-6.1545843001165057</v>
      </c>
      <c r="AG7" s="17">
        <f t="shared" si="17"/>
        <v>-0.10075360004635492</v>
      </c>
      <c r="AH7" s="13">
        <v>9.9999384541569994E-2</v>
      </c>
      <c r="AI7" s="14">
        <f t="shared" si="8"/>
        <v>6.1000000000000004E-8</v>
      </c>
      <c r="AJ7" s="16">
        <f t="shared" ca="1" si="9"/>
        <v>9.9999385245923209E-2</v>
      </c>
      <c r="AK7" s="1">
        <f t="shared" ca="1" si="10"/>
        <v>9.9999357624004775E-2</v>
      </c>
      <c r="AL7" s="1">
        <f t="shared" ca="1" si="11"/>
        <v>9.9999412867841642E-2</v>
      </c>
    </row>
    <row r="8" spans="1:38" ht="11.45" customHeight="1" x14ac:dyDescent="0.25">
      <c r="A8" s="10">
        <v>45208</v>
      </c>
      <c r="B8" s="11">
        <f t="shared" si="12"/>
        <v>240</v>
      </c>
      <c r="C8" s="11">
        <f>SUM(B$4:B8)</f>
        <v>1237</v>
      </c>
      <c r="D8" s="12">
        <f t="shared" si="0"/>
        <v>6.5299999998935654</v>
      </c>
      <c r="E8" s="17">
        <f t="shared" si="13"/>
        <v>2.0199999999082063</v>
      </c>
      <c r="F8" s="13">
        <v>0.10000065299999999</v>
      </c>
      <c r="G8" s="14">
        <v>9.6999999999999995E-8</v>
      </c>
      <c r="H8" s="15">
        <f t="shared" ca="1" si="1"/>
        <v>0.10000057429800568</v>
      </c>
      <c r="I8" s="15">
        <f t="array" aca="1" ref="I8" ca="1">$H8-ABS(_xlfn.T.INV(0.025,df_PN010069))*(Syx_PN010069*SQRT(1+1/n_PN010069+($C8-XBar_PN010069)^2/SSx_PN010069))</f>
        <v>0.10000037070296013</v>
      </c>
      <c r="J8" s="15">
        <f t="shared" ca="1" si="2"/>
        <v>0.10000077789305124</v>
      </c>
      <c r="K8" s="5"/>
      <c r="L8" s="56" t="s">
        <v>30</v>
      </c>
      <c r="M8" s="54"/>
      <c r="N8" s="5"/>
      <c r="O8" s="10">
        <v>44659</v>
      </c>
      <c r="P8" s="11">
        <f t="shared" si="14"/>
        <v>213</v>
      </c>
      <c r="Q8" s="11">
        <f>SUM(P$4:P8)</f>
        <v>970</v>
      </c>
      <c r="R8" s="12">
        <f t="shared" si="3"/>
        <v>-42.240000000109966</v>
      </c>
      <c r="S8" s="17">
        <f t="shared" si="15"/>
        <v>-223.8599999999924</v>
      </c>
      <c r="T8" s="13">
        <v>9.9995775999999995E-2</v>
      </c>
      <c r="U8" s="14">
        <v>9.6999999999999995E-8</v>
      </c>
      <c r="V8" s="15">
        <f t="shared" ca="1" si="4"/>
        <v>0.10001028594188299</v>
      </c>
      <c r="W8" s="15">
        <f t="shared" ca="1" si="5"/>
        <v>9.9950677659936468E-2</v>
      </c>
      <c r="X8" s="15">
        <f t="shared" ca="1" si="6"/>
        <v>0.10006989422382952</v>
      </c>
      <c r="AC8" s="10">
        <v>45104</v>
      </c>
      <c r="AD8" s="11">
        <f t="shared" si="16"/>
        <v>2</v>
      </c>
      <c r="AE8" s="11">
        <f>SUM(AD$4:AD8)</f>
        <v>7</v>
      </c>
      <c r="AF8" s="12">
        <f t="shared" si="7"/>
        <v>-6.2224485000705876</v>
      </c>
      <c r="AG8" s="17">
        <f t="shared" si="17"/>
        <v>-6.7864199954081883E-2</v>
      </c>
      <c r="AH8" s="13">
        <v>9.9999377755149998E-2</v>
      </c>
      <c r="AI8" s="14">
        <f t="shared" si="8"/>
        <v>6.1000000000000004E-8</v>
      </c>
      <c r="AJ8" s="16">
        <f t="shared" ca="1" si="9"/>
        <v>9.9999384144678391E-2</v>
      </c>
      <c r="AK8" s="1">
        <f t="shared" ca="1" si="10"/>
        <v>9.9999356531298364E-2</v>
      </c>
      <c r="AL8" s="1">
        <f t="shared" ca="1" si="11"/>
        <v>9.9999411758058418E-2</v>
      </c>
    </row>
    <row r="9" spans="1:38" ht="12" customHeight="1" x14ac:dyDescent="0.25">
      <c r="A9" s="10">
        <v>45520</v>
      </c>
      <c r="B9" s="11">
        <f t="shared" si="12"/>
        <v>312</v>
      </c>
      <c r="C9" s="11">
        <f>SUM(B$4:B9)</f>
        <v>1549</v>
      </c>
      <c r="D9" s="12">
        <f t="shared" si="0"/>
        <v>5.539999999998324</v>
      </c>
      <c r="E9" s="17">
        <f t="shared" si="13"/>
        <v>-0.98999999989524134</v>
      </c>
      <c r="F9" s="13">
        <v>0.10000055400000001</v>
      </c>
      <c r="G9" s="14">
        <v>9.6999999999999995E-8</v>
      </c>
      <c r="H9" s="15">
        <f t="shared" ca="1" si="1"/>
        <v>0.10000063241325989</v>
      </c>
      <c r="I9" s="15">
        <f t="array" aca="1" ref="I9" ca="1">$H9-ABS(_xlfn.T.INV(0.025,df_PN010069))*(Syx_PN010069*SQRT(1+1/n_PN010069+($C9-XBar_PN010069)^2/SSx_PN010069))</f>
        <v>0.10000042329537476</v>
      </c>
      <c r="J9" s="15">
        <f t="shared" ca="1" si="2"/>
        <v>0.10000084153114502</v>
      </c>
      <c r="K9" s="5"/>
      <c r="L9" s="8" t="s">
        <v>15</v>
      </c>
      <c r="M9" s="9">
        <f>COUNTA($T:$T)-2</f>
        <v>11</v>
      </c>
      <c r="N9" s="5"/>
      <c r="O9" s="10">
        <v>44868</v>
      </c>
      <c r="P9" s="11">
        <f t="shared" si="14"/>
        <v>209</v>
      </c>
      <c r="Q9" s="11">
        <f>SUM(P$4:P9)</f>
        <v>1179</v>
      </c>
      <c r="R9" s="12">
        <f t="shared" si="3"/>
        <v>-43.010000000121011</v>
      </c>
      <c r="S9" s="17">
        <f t="shared" si="15"/>
        <v>-0.77000000001104496</v>
      </c>
      <c r="T9" s="13">
        <v>9.9995698999999993E-2</v>
      </c>
      <c r="U9" s="14">
        <v>9.6999999999999995E-8</v>
      </c>
      <c r="V9" s="15">
        <f t="shared" ca="1" si="4"/>
        <v>0.10000510361442567</v>
      </c>
      <c r="W9" s="15">
        <f t="shared" ca="1" si="5"/>
        <v>9.9945405416600727E-2</v>
      </c>
      <c r="X9" s="15">
        <f t="shared" ca="1" si="6"/>
        <v>0.10006480181225062</v>
      </c>
      <c r="AC9" s="10">
        <v>45104</v>
      </c>
      <c r="AD9" s="11">
        <f t="shared" si="16"/>
        <v>0</v>
      </c>
      <c r="AE9" s="11">
        <f>SUM(AD$4:AD9)</f>
        <v>7</v>
      </c>
      <c r="AF9" s="12">
        <f t="shared" si="7"/>
        <v>-6.2038183000490132</v>
      </c>
      <c r="AG9" s="17">
        <f t="shared" si="17"/>
        <v>1.8630200021574339E-2</v>
      </c>
      <c r="AH9" s="13">
        <v>9.9999379618170001E-2</v>
      </c>
      <c r="AI9" s="14">
        <f t="shared" si="8"/>
        <v>6.1000000000000004E-8</v>
      </c>
      <c r="AJ9" s="16">
        <f t="shared" ca="1" si="9"/>
        <v>9.9999384144678391E-2</v>
      </c>
      <c r="AK9" s="1">
        <f t="shared" ca="1" si="10"/>
        <v>9.9999356531298364E-2</v>
      </c>
      <c r="AL9" s="1">
        <f t="shared" ca="1" si="11"/>
        <v>9.9999411758058418E-2</v>
      </c>
    </row>
    <row r="10" spans="1:38" ht="12" customHeight="1" x14ac:dyDescent="0.25">
      <c r="A10" s="10">
        <v>45726</v>
      </c>
      <c r="B10" s="11">
        <f t="shared" si="12"/>
        <v>206</v>
      </c>
      <c r="C10" s="11">
        <f>SUM(B$4:B10)</f>
        <v>1755</v>
      </c>
      <c r="D10" s="12">
        <f t="shared" si="0"/>
        <v>6.3899999999672552</v>
      </c>
      <c r="E10" s="17">
        <f t="shared" si="13"/>
        <v>0.84999999996893116</v>
      </c>
      <c r="F10" s="13">
        <v>0.100000639</v>
      </c>
      <c r="G10" s="14">
        <v>9.6999999999999995E-8</v>
      </c>
      <c r="H10" s="15">
        <f t="shared" ca="1" si="1"/>
        <v>0.10000067078422901</v>
      </c>
      <c r="I10" s="15">
        <f t="array" aca="1" ref="I10" ca="1">$H10-ABS(_xlfn.T.INV(0.025,df_PN010069))*(Syx_PN010069*SQRT(1+1/n_PN010069+($C10-XBar_PN010069)^2/SSx_PN010069))</f>
        <v>0.10000045556267245</v>
      </c>
      <c r="J10" s="15">
        <f t="shared" ca="1" si="2"/>
        <v>0.10000088600578558</v>
      </c>
      <c r="K10" s="5"/>
      <c r="L10" s="8" t="s">
        <v>16</v>
      </c>
      <c r="M10" s="9">
        <f t="array" ref="M10">n_PN010034-2</f>
        <v>9</v>
      </c>
      <c r="N10" s="5"/>
      <c r="O10" s="10">
        <v>45097</v>
      </c>
      <c r="P10" s="11">
        <f t="shared" si="14"/>
        <v>229</v>
      </c>
      <c r="Q10" s="11">
        <f>SUM(P$4:P10)</f>
        <v>1408</v>
      </c>
      <c r="R10" s="12">
        <f t="shared" si="3"/>
        <v>-45.600000000006744</v>
      </c>
      <c r="S10" s="17">
        <f t="shared" si="15"/>
        <v>-2.5899999998857339</v>
      </c>
      <c r="T10" s="13">
        <v>9.9995440000000005E-2</v>
      </c>
      <c r="U10" s="14">
        <v>9.6999999999999995E-8</v>
      </c>
      <c r="V10" s="15">
        <f t="shared" ca="1" si="4"/>
        <v>9.9999425370465259E-2</v>
      </c>
      <c r="W10" s="15">
        <f t="shared" ca="1" si="5"/>
        <v>9.9939069697957739E-2</v>
      </c>
      <c r="X10" s="15">
        <f t="shared" ca="1" si="6"/>
        <v>0.10005978104297278</v>
      </c>
      <c r="AC10" s="10">
        <v>45105</v>
      </c>
      <c r="AD10" s="11">
        <f t="shared" si="16"/>
        <v>1</v>
      </c>
      <c r="AE10" s="11">
        <f>SUM(AD$4:AD10)</f>
        <v>8</v>
      </c>
      <c r="AF10" s="12">
        <f t="shared" si="7"/>
        <v>-6.2432292000091927</v>
      </c>
      <c r="AG10" s="17">
        <f t="shared" si="17"/>
        <v>-3.9410899960179435E-2</v>
      </c>
      <c r="AH10" s="13">
        <v>9.9999375677080005E-2</v>
      </c>
      <c r="AI10" s="14">
        <f t="shared" si="8"/>
        <v>6.1000000000000004E-8</v>
      </c>
      <c r="AJ10" s="16">
        <f t="shared" ca="1" si="9"/>
        <v>9.9999383594055982E-2</v>
      </c>
      <c r="AK10" s="1">
        <f t="shared" ca="1" si="10"/>
        <v>9.9999355984796701E-2</v>
      </c>
      <c r="AL10" s="1">
        <f t="shared" ca="1" si="11"/>
        <v>9.9999411203315264E-2</v>
      </c>
    </row>
    <row r="11" spans="1:38" ht="12" customHeight="1" x14ac:dyDescent="0.25">
      <c r="A11" s="10">
        <v>46008</v>
      </c>
      <c r="B11" s="11">
        <f t="shared" si="12"/>
        <v>282</v>
      </c>
      <c r="C11" s="11">
        <f>SUM(B$4:B11)</f>
        <v>2037</v>
      </c>
      <c r="D11" s="12">
        <f t="shared" si="0"/>
        <v>7.6099999998802126</v>
      </c>
      <c r="E11" s="17">
        <f t="shared" si="13"/>
        <v>1.2199999999129574</v>
      </c>
      <c r="F11" s="20">
        <v>0.10000076099999999</v>
      </c>
      <c r="G11" s="14">
        <v>9.6999999999999995E-8</v>
      </c>
      <c r="H11" s="15">
        <f t="shared" ca="1" si="1"/>
        <v>0.100000723311478</v>
      </c>
      <c r="I11" s="15">
        <f t="array" aca="1" ref="I11" ca="1">$H11-ABS(_xlfn.T.INV(0.025,df_PN010069))*(Syx_PN010069*SQRT(1+1/n_PN010069+($C11-XBar_PN010069)^2/SSx_PN010069))</f>
        <v>0.10000049689315163</v>
      </c>
      <c r="J11" s="15">
        <f t="shared" ca="1" si="2"/>
        <v>0.10000094972980436</v>
      </c>
      <c r="K11" s="5"/>
      <c r="L11" s="8" t="s">
        <v>17</v>
      </c>
      <c r="M11" s="18">
        <f ca="1">AVERAGE(known_xs_PN010034)</f>
        <v>1036.1818181818182</v>
      </c>
      <c r="N11" s="5"/>
      <c r="O11" s="10">
        <v>45319</v>
      </c>
      <c r="P11" s="11">
        <f t="shared" si="14"/>
        <v>222</v>
      </c>
      <c r="Q11" s="11">
        <f>SUM(P$4:P11)</f>
        <v>1630</v>
      </c>
      <c r="R11" s="12">
        <f t="shared" si="3"/>
        <v>-48.500000000006871</v>
      </c>
      <c r="S11" s="17">
        <f t="shared" si="15"/>
        <v>-2.9000000000001265</v>
      </c>
      <c r="T11" s="13">
        <v>9.9995150000000005E-2</v>
      </c>
      <c r="U11" s="14">
        <v>9.6999999999999995E-8</v>
      </c>
      <c r="V11" s="15">
        <f t="shared" ca="1" si="4"/>
        <v>9.9993920697280927E-2</v>
      </c>
      <c r="W11" s="15">
        <f t="shared" ca="1" si="5"/>
        <v>9.9932387092470445E-2</v>
      </c>
      <c r="X11" s="15">
        <f t="shared" ca="1" si="6"/>
        <v>0.10005545430209141</v>
      </c>
      <c r="AC11" s="10">
        <v>45106</v>
      </c>
      <c r="AD11" s="11">
        <f t="shared" si="16"/>
        <v>1</v>
      </c>
      <c r="AE11" s="11">
        <f>SUM(AD$4:AD11)</f>
        <v>9</v>
      </c>
      <c r="AF11" s="12">
        <f t="shared" si="7"/>
        <v>-6.1422664000831961</v>
      </c>
      <c r="AG11" s="17">
        <f t="shared" si="17"/>
        <v>0.10096279992599655</v>
      </c>
      <c r="AH11" s="13">
        <v>9.9999385773359997E-2</v>
      </c>
      <c r="AI11" s="14">
        <f t="shared" si="8"/>
        <v>6.1000000000000004E-8</v>
      </c>
      <c r="AJ11" s="16">
        <f t="shared" ca="1" si="9"/>
        <v>9.9999383043433587E-2</v>
      </c>
      <c r="AK11" s="1">
        <f t="shared" ca="1" si="10"/>
        <v>9.9999355438196019E-2</v>
      </c>
      <c r="AL11" s="1">
        <f t="shared" ca="1" si="11"/>
        <v>9.9999410648671155E-2</v>
      </c>
    </row>
    <row r="12" spans="1:38" ht="12" customHeight="1" x14ac:dyDescent="0.25">
      <c r="A12" s="10">
        <v>46225</v>
      </c>
      <c r="B12" s="11">
        <f t="shared" si="12"/>
        <v>217</v>
      </c>
      <c r="C12" s="11">
        <f>SUM(B$4:B12)</f>
        <v>2254</v>
      </c>
      <c r="D12" s="12">
        <f t="shared" si="0"/>
        <v>9.4700000000114137</v>
      </c>
      <c r="E12" s="17">
        <f t="shared" si="13"/>
        <v>1.8600000001312011</v>
      </c>
      <c r="F12" s="20">
        <v>0.10000094700000001</v>
      </c>
      <c r="G12" s="14">
        <v>1.2E-8</v>
      </c>
      <c r="H12" s="16">
        <f t="shared" ca="1" si="1"/>
        <v>0.10000076373138236</v>
      </c>
      <c r="I12" s="16">
        <f t="array" aca="1" ref="I12" ca="1">$H12-ABS(_xlfn.T.INV(0.025,df_PN010069))*(Syx_PN010069*SQRT(1+1/n_PN010069+($C12-XBar_PN010069)^2/SSx_PN010069))</f>
        <v>0.10000052672611255</v>
      </c>
      <c r="J12" s="16">
        <f t="shared" ca="1" si="2"/>
        <v>0.10000100073665218</v>
      </c>
      <c r="K12" s="5"/>
      <c r="L12" s="8" t="s">
        <v>18</v>
      </c>
      <c r="M12" s="18">
        <f ca="1">STEYX(known_ys_PN010034,known_xs_PN010034)</f>
        <v>2.5217974052706592E-5</v>
      </c>
      <c r="N12" s="5"/>
      <c r="O12" s="10">
        <v>45600</v>
      </c>
      <c r="P12" s="11">
        <f t="shared" si="14"/>
        <v>281</v>
      </c>
      <c r="Q12" s="11">
        <f>SUM(P$4:P12)</f>
        <v>1911</v>
      </c>
      <c r="R12" s="12">
        <f t="shared" si="3"/>
        <v>-59.580000000003523</v>
      </c>
      <c r="S12" s="17">
        <f t="shared" si="15"/>
        <v>-11.079999999996652</v>
      </c>
      <c r="T12" s="13">
        <v>9.9994042000000005E-2</v>
      </c>
      <c r="U12" s="14">
        <v>9.6999999999999995E-8</v>
      </c>
      <c r="V12" s="15">
        <f t="shared" ca="1" si="4"/>
        <v>9.9986953070412457E-2</v>
      </c>
      <c r="W12" s="15">
        <f t="shared" ca="1" si="5"/>
        <v>9.9923213085549439E-2</v>
      </c>
      <c r="X12" s="15">
        <f t="shared" ca="1" si="6"/>
        <v>0.10005069305527547</v>
      </c>
      <c r="AC12" s="10">
        <v>45106</v>
      </c>
      <c r="AD12" s="11">
        <f t="shared" si="16"/>
        <v>0</v>
      </c>
      <c r="AE12" s="11">
        <f>SUM(AD$4:AD12)</f>
        <v>9</v>
      </c>
      <c r="AF12" s="12">
        <f t="shared" si="7"/>
        <v>-6.1877864000747795</v>
      </c>
      <c r="AG12" s="17">
        <f t="shared" si="17"/>
        <v>-4.5519999991583404E-2</v>
      </c>
      <c r="AH12" s="13">
        <v>9.9999381221359998E-2</v>
      </c>
      <c r="AI12" s="14">
        <f t="shared" si="8"/>
        <v>6.1000000000000004E-8</v>
      </c>
      <c r="AJ12" s="16">
        <f t="shared" ca="1" si="9"/>
        <v>9.9999383043433587E-2</v>
      </c>
      <c r="AK12" s="1">
        <f t="shared" ca="1" si="10"/>
        <v>9.9999355438196019E-2</v>
      </c>
      <c r="AL12" s="1">
        <f t="shared" ca="1" si="11"/>
        <v>9.9999410648671155E-2</v>
      </c>
    </row>
    <row r="13" spans="1:38" ht="12" customHeight="1" x14ac:dyDescent="0.25">
      <c r="A13" s="10"/>
      <c r="B13" s="11"/>
      <c r="C13" s="11"/>
      <c r="D13" s="12"/>
      <c r="E13" s="17"/>
      <c r="F13" s="20"/>
      <c r="G13" s="14"/>
      <c r="H13" s="16"/>
      <c r="I13" s="16"/>
      <c r="J13" s="16"/>
      <c r="K13" s="5"/>
      <c r="L13" s="8" t="s">
        <v>19</v>
      </c>
      <c r="M13" s="18">
        <f ca="1">DEVSQ(known_xs_PN010034)</f>
        <v>4858997.6363636358</v>
      </c>
      <c r="N13" s="5"/>
      <c r="O13" s="10">
        <v>45845</v>
      </c>
      <c r="P13" s="11">
        <f t="shared" si="14"/>
        <v>245</v>
      </c>
      <c r="Q13" s="11">
        <f>SUM(P$4:P13)</f>
        <v>2156</v>
      </c>
      <c r="R13" s="12">
        <f t="shared" si="3"/>
        <v>-59.580000000003523</v>
      </c>
      <c r="S13" s="17">
        <f t="shared" si="15"/>
        <v>0</v>
      </c>
      <c r="T13" s="13">
        <v>9.9994042000000005E-2</v>
      </c>
      <c r="U13" s="14">
        <v>9.6999999999999995E-8</v>
      </c>
      <c r="V13" s="15">
        <f t="shared" ca="1" si="4"/>
        <v>9.998087809324957E-2</v>
      </c>
      <c r="W13" s="15">
        <f t="shared" ca="1" si="5"/>
        <v>9.9914620354262934E-2</v>
      </c>
      <c r="X13" s="15">
        <f t="shared" ca="1" si="6"/>
        <v>0.10004713583223621</v>
      </c>
      <c r="AC13" s="10">
        <v>45118</v>
      </c>
      <c r="AD13" s="11">
        <f t="shared" si="16"/>
        <v>12</v>
      </c>
      <c r="AE13" s="11">
        <f>SUM(AD$4:AD13)</f>
        <v>21</v>
      </c>
      <c r="AF13" s="12">
        <f t="shared" si="7"/>
        <v>-6.3396523999892374</v>
      </c>
      <c r="AG13" s="17">
        <f t="shared" si="17"/>
        <v>-0.15186599991445782</v>
      </c>
      <c r="AH13" s="13">
        <v>9.9999366034760007E-2</v>
      </c>
      <c r="AI13" s="14">
        <f t="shared" si="8"/>
        <v>6.1000000000000004E-8</v>
      </c>
      <c r="AJ13" s="16">
        <f t="shared" ca="1" si="9"/>
        <v>9.9999376435964724E-2</v>
      </c>
      <c r="AK13" s="1">
        <f t="shared" ca="1" si="10"/>
        <v>9.9999348871248728E-2</v>
      </c>
      <c r="AL13" s="1">
        <f t="shared" ca="1" si="11"/>
        <v>9.9999404000680719E-2</v>
      </c>
    </row>
    <row r="14" spans="1:38" x14ac:dyDescent="0.25">
      <c r="A14" s="10"/>
      <c r="B14" s="11"/>
      <c r="C14" s="11"/>
      <c r="D14" s="12"/>
      <c r="E14" s="17"/>
      <c r="F14" s="20"/>
      <c r="G14" s="14"/>
      <c r="K14" s="19"/>
      <c r="L14" s="19"/>
      <c r="M14" s="19"/>
      <c r="N14" s="19"/>
      <c r="O14" s="10">
        <v>46143</v>
      </c>
      <c r="P14" s="11">
        <f t="shared" si="14"/>
        <v>298</v>
      </c>
      <c r="Q14" s="11">
        <f>SUM(P$4:P14)</f>
        <v>2454</v>
      </c>
      <c r="R14" s="12">
        <f t="shared" si="3"/>
        <v>-75.250000000082196</v>
      </c>
      <c r="S14" s="17">
        <f t="shared" si="15"/>
        <v>-15.670000000078673</v>
      </c>
      <c r="T14" s="13">
        <v>9.9992474999999997E-2</v>
      </c>
      <c r="U14" s="14">
        <v>9.6999999999999995E-8</v>
      </c>
      <c r="V14" s="15">
        <f t="shared" ca="1" si="4"/>
        <v>9.9973488937353486E-2</v>
      </c>
      <c r="W14" s="15">
        <f t="shared" ca="1" si="5"/>
        <v>9.9903513434440608E-2</v>
      </c>
      <c r="X14" s="15">
        <f t="shared" ca="1" si="6"/>
        <v>0.10004346444026636</v>
      </c>
      <c r="AC14" s="10">
        <v>45119</v>
      </c>
      <c r="AD14" s="11">
        <f t="shared" si="16"/>
        <v>1</v>
      </c>
      <c r="AE14" s="11">
        <f>SUM(AD$4:AD14)</f>
        <v>22</v>
      </c>
      <c r="AF14" s="12">
        <f t="shared" si="7"/>
        <v>-6.0514296000568901</v>
      </c>
      <c r="AG14" s="17">
        <f t="shared" si="17"/>
        <v>0.28822279993234723</v>
      </c>
      <c r="AH14" s="13">
        <v>9.999939485704E-2</v>
      </c>
      <c r="AI14" s="14">
        <f t="shared" si="8"/>
        <v>6.1000000000000004E-8</v>
      </c>
      <c r="AJ14" s="16">
        <f t="shared" ca="1" si="9"/>
        <v>9.9999375885342329E-2</v>
      </c>
      <c r="AK14" s="1">
        <f t="shared" ca="1" si="10"/>
        <v>9.9999348323357107E-2</v>
      </c>
      <c r="AL14" s="1">
        <f t="shared" ca="1" si="11"/>
        <v>9.9999403447327551E-2</v>
      </c>
    </row>
    <row r="15" spans="1:38" x14ac:dyDescent="0.25">
      <c r="A15" s="10"/>
      <c r="B15" s="11"/>
      <c r="C15" s="11"/>
      <c r="D15" s="12"/>
      <c r="E15" s="17"/>
      <c r="F15" s="20"/>
      <c r="G15" s="14"/>
      <c r="O15" s="10"/>
      <c r="P15" s="11"/>
      <c r="Q15" s="11"/>
      <c r="R15" s="12"/>
      <c r="S15" s="17"/>
      <c r="T15" s="20"/>
      <c r="U15" s="14"/>
      <c r="AC15" s="10">
        <v>45120</v>
      </c>
      <c r="AD15" s="11">
        <f t="shared" si="16"/>
        <v>1</v>
      </c>
      <c r="AE15" s="11">
        <f>SUM(AD$4:AD15)</f>
        <v>23</v>
      </c>
      <c r="AF15" s="12">
        <f t="shared" si="7"/>
        <v>-6.0858626001192295</v>
      </c>
      <c r="AG15" s="17">
        <f t="shared" si="17"/>
        <v>-3.4433000062339403E-2</v>
      </c>
      <c r="AH15" s="13">
        <v>9.9999391413739994E-2</v>
      </c>
      <c r="AI15" s="14">
        <f t="shared" si="8"/>
        <v>6.1000000000000004E-8</v>
      </c>
      <c r="AJ15" s="16">
        <f t="shared" ca="1" si="9"/>
        <v>9.999937533471992E-2</v>
      </c>
      <c r="AK15" s="1">
        <f t="shared" ca="1" si="10"/>
        <v>9.9999347775365927E-2</v>
      </c>
      <c r="AL15" s="1">
        <f t="shared" ca="1" si="11"/>
        <v>9.9999402894073913E-2</v>
      </c>
    </row>
    <row r="16" spans="1:38" x14ac:dyDescent="0.25">
      <c r="A16" s="10"/>
      <c r="B16" s="11"/>
      <c r="C16" s="11"/>
      <c r="D16" s="12"/>
      <c r="E16" s="17"/>
      <c r="F16" s="20"/>
      <c r="G16" s="14"/>
      <c r="O16" s="10"/>
      <c r="P16" s="11"/>
      <c r="Q16" s="11"/>
      <c r="R16" s="12"/>
      <c r="S16" s="17"/>
      <c r="T16" s="20"/>
      <c r="U16" s="14"/>
      <c r="AC16" s="10">
        <v>45123</v>
      </c>
      <c r="AD16" s="11">
        <f t="shared" si="16"/>
        <v>3</v>
      </c>
      <c r="AE16" s="11">
        <f>SUM(AD$4:AD16)</f>
        <v>26</v>
      </c>
      <c r="AF16" s="12">
        <f t="shared" si="7"/>
        <v>-6.0570274000582014</v>
      </c>
      <c r="AG16" s="17">
        <f t="shared" si="17"/>
        <v>2.8835200061028132E-2</v>
      </c>
      <c r="AH16" s="13">
        <v>9.999939429726E-2</v>
      </c>
      <c r="AI16" s="14">
        <f t="shared" si="8"/>
        <v>6.1000000000000004E-8</v>
      </c>
      <c r="AJ16" s="16">
        <f t="shared" ca="1" si="9"/>
        <v>9.9999373682852707E-2</v>
      </c>
      <c r="AK16" s="1">
        <f t="shared" ca="1" si="10"/>
        <v>9.9999346130794906E-2</v>
      </c>
      <c r="AL16" s="1">
        <f t="shared" ca="1" si="11"/>
        <v>9.9999401234910509E-2</v>
      </c>
    </row>
    <row r="17" spans="1:39" x14ac:dyDescent="0.25">
      <c r="A17" s="10"/>
      <c r="B17" s="11"/>
      <c r="C17" s="11"/>
      <c r="D17" s="12"/>
      <c r="E17" s="17"/>
      <c r="F17" s="20"/>
      <c r="G17" s="14"/>
      <c r="O17" s="10"/>
      <c r="P17" s="11"/>
      <c r="Q17" s="11"/>
      <c r="R17" s="12"/>
      <c r="S17" s="17"/>
      <c r="T17" s="20"/>
      <c r="U17" s="14"/>
      <c r="AC17" s="10">
        <v>45124</v>
      </c>
      <c r="AD17" s="11">
        <f t="shared" si="16"/>
        <v>1</v>
      </c>
      <c r="AE17" s="11">
        <f>SUM(AD$4:AD17)</f>
        <v>27</v>
      </c>
      <c r="AF17" s="12">
        <f t="shared" si="7"/>
        <v>-6.2119035000585132</v>
      </c>
      <c r="AG17" s="17">
        <f t="shared" si="17"/>
        <v>-0.15487610000031182</v>
      </c>
      <c r="AH17" s="13">
        <v>9.999937880965E-2</v>
      </c>
      <c r="AI17" s="14">
        <f t="shared" si="8"/>
        <v>6.1000000000000004E-8</v>
      </c>
      <c r="AJ17" s="16">
        <f t="shared" ca="1" si="9"/>
        <v>9.9999373132230299E-2</v>
      </c>
      <c r="AK17" s="1">
        <f t="shared" ca="1" si="10"/>
        <v>9.9999345582405294E-2</v>
      </c>
      <c r="AL17" s="1">
        <f t="shared" ca="1" si="11"/>
        <v>9.9999400682055303E-2</v>
      </c>
    </row>
    <row r="18" spans="1:39" x14ac:dyDescent="0.25">
      <c r="A18" s="10"/>
      <c r="B18" s="11"/>
      <c r="C18" s="11"/>
      <c r="D18" s="12"/>
      <c r="E18" s="17"/>
      <c r="F18" s="20"/>
      <c r="G18" s="14"/>
      <c r="O18" s="10"/>
      <c r="P18" s="11"/>
      <c r="Q18" s="11"/>
      <c r="R18" s="12"/>
      <c r="S18" s="17"/>
      <c r="T18" s="20"/>
      <c r="U18" s="14"/>
      <c r="AC18" s="10">
        <v>45124</v>
      </c>
      <c r="AD18" s="11">
        <f t="shared" si="16"/>
        <v>0</v>
      </c>
      <c r="AE18" s="11">
        <f>SUM(AD$4:AD18)</f>
        <v>27</v>
      </c>
      <c r="AF18" s="12">
        <f t="shared" si="7"/>
        <v>-6.1223534000842683</v>
      </c>
      <c r="AG18" s="17">
        <f t="shared" si="17"/>
        <v>8.9550099974244901E-2</v>
      </c>
      <c r="AH18" s="13">
        <v>9.9999387764659997E-2</v>
      </c>
      <c r="AI18" s="14">
        <f t="shared" si="8"/>
        <v>6.1000000000000004E-8</v>
      </c>
      <c r="AJ18" s="16">
        <f t="shared" ca="1" si="9"/>
        <v>9.9999373132230299E-2</v>
      </c>
      <c r="AK18" s="1">
        <f t="shared" ca="1" si="10"/>
        <v>9.9999345582405294E-2</v>
      </c>
      <c r="AL18" s="1">
        <f t="shared" ca="1" si="11"/>
        <v>9.9999400682055303E-2</v>
      </c>
    </row>
    <row r="19" spans="1:39" x14ac:dyDescent="0.25">
      <c r="A19" s="10"/>
      <c r="B19" s="11"/>
      <c r="C19" s="11"/>
      <c r="D19" s="12"/>
      <c r="E19" s="17"/>
      <c r="F19" s="20"/>
      <c r="G19" s="14"/>
      <c r="O19" s="10"/>
      <c r="P19" s="11"/>
      <c r="Q19" s="11"/>
      <c r="R19" s="12"/>
      <c r="S19" s="17"/>
      <c r="T19" s="20"/>
      <c r="U19" s="14"/>
      <c r="AC19" s="10">
        <v>45126</v>
      </c>
      <c r="AD19" s="11">
        <f t="shared" si="16"/>
        <v>2</v>
      </c>
      <c r="AE19" s="11">
        <f>SUM(AD$4:AD19)</f>
        <v>29</v>
      </c>
      <c r="AF19" s="12">
        <f t="shared" si="7"/>
        <v>-6.1457265999875776</v>
      </c>
      <c r="AG19" s="17">
        <f t="shared" si="17"/>
        <v>-2.3373199903309327E-2</v>
      </c>
      <c r="AH19" s="13">
        <v>9.9999385427340007E-2</v>
      </c>
      <c r="AI19" s="14">
        <f t="shared" si="8"/>
        <v>6.1000000000000004E-8</v>
      </c>
      <c r="AJ19" s="16">
        <f t="shared" ca="1" si="9"/>
        <v>9.9999372030985495E-2</v>
      </c>
      <c r="AK19" s="1">
        <f t="shared" ca="1" si="10"/>
        <v>9.999934448532706E-2</v>
      </c>
      <c r="AL19" s="1">
        <f t="shared" ca="1" si="11"/>
        <v>9.999939957664393E-2</v>
      </c>
    </row>
    <row r="20" spans="1:39" x14ac:dyDescent="0.25">
      <c r="A20" s="10"/>
      <c r="B20" s="11"/>
      <c r="C20" s="11"/>
      <c r="D20" s="12"/>
      <c r="E20" s="17"/>
      <c r="G20" s="14"/>
      <c r="O20" s="10"/>
      <c r="P20" s="11"/>
      <c r="Q20" s="11"/>
      <c r="R20" s="12"/>
      <c r="S20" s="17"/>
      <c r="T20" s="20"/>
      <c r="U20" s="14"/>
      <c r="AC20" s="10">
        <v>45126</v>
      </c>
      <c r="AD20" s="11">
        <f t="shared" si="16"/>
        <v>0</v>
      </c>
      <c r="AE20" s="11">
        <f>SUM(AD$4:AD20)</f>
        <v>29</v>
      </c>
      <c r="AF20" s="12">
        <f t="shared" si="7"/>
        <v>-6.3239246000934557</v>
      </c>
      <c r="AG20" s="17">
        <f t="shared" si="17"/>
        <v>-0.17819800010587805</v>
      </c>
      <c r="AH20" s="13">
        <v>9.9999367607539996E-2</v>
      </c>
      <c r="AI20" s="14">
        <f t="shared" si="8"/>
        <v>6.1000000000000004E-8</v>
      </c>
      <c r="AJ20" s="16">
        <f t="shared" ca="1" si="9"/>
        <v>9.9999372030985495E-2</v>
      </c>
      <c r="AK20" s="1">
        <f t="shared" ca="1" si="10"/>
        <v>9.999934448532706E-2</v>
      </c>
      <c r="AL20" s="1">
        <f t="shared" ca="1" si="11"/>
        <v>9.999939957664393E-2</v>
      </c>
    </row>
    <row r="21" spans="1:39" x14ac:dyDescent="0.25">
      <c r="A21" s="10"/>
      <c r="B21" s="11"/>
      <c r="C21" s="11"/>
      <c r="D21" s="12"/>
      <c r="E21" s="17"/>
      <c r="G21" s="14"/>
      <c r="AC21" s="10">
        <v>45127</v>
      </c>
      <c r="AD21" s="11">
        <f t="shared" si="16"/>
        <v>1</v>
      </c>
      <c r="AE21" s="11">
        <f>SUM(AD$4:AD21)</f>
        <v>30</v>
      </c>
      <c r="AF21" s="12">
        <f t="shared" si="7"/>
        <v>-6.3368641001204651</v>
      </c>
      <c r="AG21" s="17">
        <f t="shared" si="17"/>
        <v>-1.2939500027009387E-2</v>
      </c>
      <c r="AH21" s="13">
        <v>9.9999366313589994E-2</v>
      </c>
      <c r="AI21" s="14">
        <f t="shared" si="8"/>
        <v>6.1000000000000004E-8</v>
      </c>
      <c r="AJ21" s="16">
        <f t="shared" ca="1" si="9"/>
        <v>9.9999371480363086E-2</v>
      </c>
      <c r="AK21" s="1">
        <f t="shared" ca="1" si="10"/>
        <v>9.9999343936638369E-2</v>
      </c>
      <c r="AL21" s="1">
        <f t="shared" ca="1" si="11"/>
        <v>9.9999399024087804E-2</v>
      </c>
    </row>
    <row r="22" spans="1:39" x14ac:dyDescent="0.25">
      <c r="B22" s="11"/>
      <c r="AC22" s="10">
        <v>45127</v>
      </c>
      <c r="AD22" s="11">
        <f t="shared" si="16"/>
        <v>0</v>
      </c>
      <c r="AE22" s="11">
        <f>SUM(AD$4:AD22)</f>
        <v>30</v>
      </c>
      <c r="AF22" s="12">
        <f t="shared" si="7"/>
        <v>-6.2908593000121638</v>
      </c>
      <c r="AG22" s="17">
        <f t="shared" si="17"/>
        <v>4.6004800108301325E-2</v>
      </c>
      <c r="AH22" s="13">
        <v>9.9999370914070004E-2</v>
      </c>
      <c r="AI22" s="14">
        <f t="shared" si="8"/>
        <v>6.1000000000000004E-8</v>
      </c>
      <c r="AJ22" s="16">
        <f t="shared" ca="1" si="9"/>
        <v>9.9999371480363086E-2</v>
      </c>
      <c r="AK22" s="1">
        <f t="shared" ca="1" si="10"/>
        <v>9.9999343936638369E-2</v>
      </c>
      <c r="AL22" s="1">
        <f t="shared" ca="1" si="11"/>
        <v>9.9999399024087804E-2</v>
      </c>
    </row>
    <row r="23" spans="1:39" x14ac:dyDescent="0.25">
      <c r="B23" s="11"/>
      <c r="AC23" s="10">
        <v>45380</v>
      </c>
      <c r="AD23" s="11">
        <f t="shared" si="16"/>
        <v>253</v>
      </c>
      <c r="AE23" s="11">
        <f>SUM(AD$4:AD23)</f>
        <v>283</v>
      </c>
      <c r="AF23" s="12">
        <f t="shared" si="7"/>
        <v>-7.9400000001228488</v>
      </c>
      <c r="AG23" s="17">
        <f t="shared" si="17"/>
        <v>-1.649140700110685</v>
      </c>
      <c r="AH23" s="13">
        <v>9.9999205999999993E-2</v>
      </c>
      <c r="AI23" s="14">
        <f t="shared" si="8"/>
        <v>6.1000000000000004E-8</v>
      </c>
      <c r="AJ23" s="16">
        <f t="shared" ca="1" si="9"/>
        <v>9.999923217289472E-2</v>
      </c>
      <c r="AK23" s="1">
        <f t="shared" ca="1" si="10"/>
        <v>9.9999202032038992E-2</v>
      </c>
      <c r="AL23" s="1">
        <f t="shared" ca="1" si="11"/>
        <v>9.9999262313750448E-2</v>
      </c>
      <c r="AM23" s="14"/>
    </row>
    <row r="24" spans="1:39" x14ac:dyDescent="0.25">
      <c r="B24" s="11"/>
      <c r="AC24" s="10">
        <v>45575</v>
      </c>
      <c r="AD24" s="11">
        <f t="shared" si="16"/>
        <v>195</v>
      </c>
      <c r="AE24" s="11">
        <f>SUM(AD$4:AD24)</f>
        <v>478</v>
      </c>
      <c r="AF24" s="1">
        <f t="shared" si="7"/>
        <v>-8.630000000037219</v>
      </c>
      <c r="AG24" s="17">
        <f t="shared" si="17"/>
        <v>-0.68999999991437022</v>
      </c>
      <c r="AH24" s="13">
        <v>9.9999137000000002E-2</v>
      </c>
      <c r="AI24" s="14">
        <f t="shared" si="8"/>
        <v>6.1000000000000004E-8</v>
      </c>
      <c r="AJ24" s="16">
        <f t="shared" ca="1" si="9"/>
        <v>9.9999124801525827E-2</v>
      </c>
      <c r="AK24" s="1">
        <f t="shared" ca="1" si="10"/>
        <v>9.9999089245339234E-2</v>
      </c>
      <c r="AL24" s="1">
        <f t="shared" ca="1" si="11"/>
        <v>9.9999160357712419E-2</v>
      </c>
    </row>
    <row r="25" spans="1:39" x14ac:dyDescent="0.25">
      <c r="B25" s="11"/>
      <c r="AC25" s="10">
        <v>45672</v>
      </c>
      <c r="AD25" s="11">
        <f t="shared" si="16"/>
        <v>97</v>
      </c>
      <c r="AE25" s="11">
        <f>SUM(AD$4:AD25)</f>
        <v>575</v>
      </c>
      <c r="AF25" s="1">
        <f t="shared" si="7"/>
        <v>-9.6200000000712382</v>
      </c>
      <c r="AG25" s="17">
        <f t="shared" si="17"/>
        <v>-0.99000000003401922</v>
      </c>
      <c r="AH25" s="13">
        <v>9.9999037999999998E-2</v>
      </c>
      <c r="AI25" s="14">
        <f t="shared" si="8"/>
        <v>6.1000000000000004E-8</v>
      </c>
      <c r="AJ25" s="16">
        <f t="shared" ca="1" si="9"/>
        <v>9.9999071391152577E-2</v>
      </c>
      <c r="AK25" s="1">
        <f t="shared" ca="1" si="10"/>
        <v>9.9999032415175895E-2</v>
      </c>
      <c r="AL25" s="1">
        <f t="shared" ca="1" si="11"/>
        <v>9.999911036712926E-2</v>
      </c>
    </row>
    <row r="26" spans="1:39" x14ac:dyDescent="0.25">
      <c r="B26" s="11"/>
      <c r="AC26" s="10">
        <v>46081</v>
      </c>
      <c r="AD26" s="11">
        <f t="shared" si="16"/>
        <v>409</v>
      </c>
      <c r="AE26" s="11">
        <f>SUM(AD$4:AD26)</f>
        <v>984</v>
      </c>
      <c r="AF26" s="1">
        <f t="shared" si="7"/>
        <v>-10.590000000115785</v>
      </c>
      <c r="AG26" s="17">
        <f t="shared" si="17"/>
        <v>-0.97000000004454634</v>
      </c>
      <c r="AH26" s="13">
        <v>9.9998940999999994E-2</v>
      </c>
      <c r="AI26" s="14">
        <f t="shared" si="8"/>
        <v>6.1000000000000004E-8</v>
      </c>
      <c r="AJ26" s="16">
        <f t="shared" ca="1" si="9"/>
        <v>9.9998846186589094E-2</v>
      </c>
      <c r="AK26" s="1">
        <f t="shared" ca="1" si="10"/>
        <v>9.9998789945013891E-2</v>
      </c>
      <c r="AL26" s="1">
        <f t="shared" ca="1" si="11"/>
        <v>9.9998902428164296E-2</v>
      </c>
    </row>
    <row r="27" spans="1:39" x14ac:dyDescent="0.25">
      <c r="B27" s="11"/>
      <c r="AH27" s="13"/>
    </row>
    <row r="28" spans="1:39" x14ac:dyDescent="0.25">
      <c r="AH28" s="13"/>
    </row>
    <row r="29" spans="1:39" x14ac:dyDescent="0.25">
      <c r="AH29" s="13"/>
    </row>
    <row r="30" spans="1:39" x14ac:dyDescent="0.25">
      <c r="AH30" s="13"/>
    </row>
  </sheetData>
  <mergeCells count="6">
    <mergeCell ref="H1:J1"/>
    <mergeCell ref="AJ1:AL1"/>
    <mergeCell ref="Z1:AA1"/>
    <mergeCell ref="L1:M1"/>
    <mergeCell ref="L8:M8"/>
    <mergeCell ref="V1:X1"/>
  </mergeCells>
  <pageMargins left="0.7" right="0.7" top="0.75" bottom="0.75" header="0.511811023622047" footer="0.511811023622047"/>
  <pageSetup orientation="portrait" horizontalDpi="300" verticalDpi="30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39997558519241921"/>
  </sheetPr>
  <dimension ref="A1:AG46"/>
  <sheetViews>
    <sheetView tabSelected="1" topLeftCell="A9" zoomScale="130" zoomScaleNormal="130" workbookViewId="0">
      <selection activeCell="I11" sqref="I11"/>
    </sheetView>
  </sheetViews>
  <sheetFormatPr defaultColWidth="8.85546875" defaultRowHeight="12" x14ac:dyDescent="0.25"/>
  <cols>
    <col min="1" max="1" width="9.28515625" style="26" bestFit="1" customWidth="1"/>
    <col min="2" max="2" width="18.140625" style="26" bestFit="1" customWidth="1"/>
    <col min="3" max="3" width="17.28515625" style="26" bestFit="1" customWidth="1"/>
    <col min="4" max="4" width="10.140625" style="26" bestFit="1" customWidth="1"/>
    <col min="5" max="5" width="11.42578125" style="26" bestFit="1" customWidth="1"/>
    <col min="6" max="6" width="12.28515625" style="26" customWidth="1"/>
    <col min="7" max="7" width="8.28515625" style="26" bestFit="1" customWidth="1"/>
    <col min="8" max="8" width="10.42578125" style="26" bestFit="1" customWidth="1"/>
    <col min="9" max="9" width="10.42578125" style="26" customWidth="1"/>
    <col min="10" max="10" width="10.42578125" style="26" bestFit="1" customWidth="1"/>
    <col min="11" max="11" width="1" style="26" customWidth="1"/>
    <col min="12" max="12" width="8.42578125" style="26" bestFit="1" customWidth="1"/>
    <col min="13" max="13" width="12" style="26" bestFit="1" customWidth="1"/>
    <col min="14" max="14" width="1" style="26" customWidth="1"/>
    <col min="15" max="15" width="9.28515625" style="26" bestFit="1" customWidth="1"/>
    <col min="16" max="16" width="18.140625" style="26" bestFit="1" customWidth="1"/>
    <col min="17" max="17" width="17.28515625" style="26" bestFit="1" customWidth="1"/>
    <col min="18" max="18" width="10.140625" style="26" bestFit="1" customWidth="1"/>
    <col min="19" max="19" width="11.42578125" style="26" bestFit="1" customWidth="1"/>
    <col min="20" max="20" width="10.42578125" style="26" bestFit="1" customWidth="1"/>
    <col min="21" max="21" width="8.28515625" style="26" bestFit="1" customWidth="1"/>
    <col min="22" max="24" width="10.42578125" style="26" bestFit="1" customWidth="1"/>
    <col min="25" max="25" width="1.85546875" style="26" customWidth="1"/>
    <col min="26" max="26" width="8.85546875" style="26" customWidth="1"/>
    <col min="27" max="27" width="9.28515625" style="26" bestFit="1" customWidth="1"/>
    <col min="28" max="30" width="8.85546875" style="26" customWidth="1"/>
    <col min="31" max="16384" width="8.85546875" style="26"/>
  </cols>
  <sheetData>
    <row r="1" spans="1:33" ht="14.45" customHeight="1" x14ac:dyDescent="0.25">
      <c r="A1" s="22"/>
      <c r="B1" s="23" t="s">
        <v>0</v>
      </c>
      <c r="C1" s="24" t="s">
        <v>1</v>
      </c>
      <c r="D1" s="24">
        <v>7575006</v>
      </c>
      <c r="E1" s="22"/>
      <c r="F1" s="22"/>
      <c r="G1" s="22"/>
      <c r="H1" s="51" t="s">
        <v>2</v>
      </c>
      <c r="I1" s="52"/>
      <c r="J1" s="52"/>
      <c r="K1" s="25"/>
      <c r="L1" s="53" t="s">
        <v>3</v>
      </c>
      <c r="M1" s="54"/>
      <c r="N1" s="25"/>
      <c r="O1" s="22"/>
      <c r="P1" s="23" t="s">
        <v>0</v>
      </c>
      <c r="Q1" s="24" t="s">
        <v>4</v>
      </c>
      <c r="R1" s="24">
        <v>7575009</v>
      </c>
      <c r="S1" s="22"/>
      <c r="T1" s="22"/>
      <c r="U1" s="22"/>
      <c r="V1" s="51" t="s">
        <v>2</v>
      </c>
      <c r="W1" s="52"/>
      <c r="X1" s="52"/>
      <c r="Z1" s="27"/>
      <c r="AA1" s="27"/>
      <c r="AB1" s="27"/>
      <c r="AC1" s="27"/>
      <c r="AD1" s="27"/>
      <c r="AE1" s="27"/>
      <c r="AF1" s="27"/>
      <c r="AG1" s="27"/>
    </row>
    <row r="2" spans="1:33" ht="13.15" customHeight="1" x14ac:dyDescent="0.25">
      <c r="A2" s="23" t="s">
        <v>5</v>
      </c>
      <c r="B2" s="23" t="s">
        <v>6</v>
      </c>
      <c r="C2" s="23" t="s">
        <v>7</v>
      </c>
      <c r="D2" s="23" t="s">
        <v>8</v>
      </c>
      <c r="E2" s="23" t="s">
        <v>9</v>
      </c>
      <c r="F2" s="28" t="s">
        <v>10</v>
      </c>
      <c r="G2" s="23" t="s">
        <v>11</v>
      </c>
      <c r="H2" s="29" t="s">
        <v>12</v>
      </c>
      <c r="I2" s="29" t="s">
        <v>13</v>
      </c>
      <c r="J2" s="29" t="s">
        <v>14</v>
      </c>
      <c r="K2" s="25"/>
      <c r="L2" s="30" t="s">
        <v>15</v>
      </c>
      <c r="M2" s="31">
        <f>COUNTA($F:$F)-2</f>
        <v>21</v>
      </c>
      <c r="N2" s="25"/>
      <c r="O2" s="23" t="s">
        <v>5</v>
      </c>
      <c r="P2" s="23" t="s">
        <v>6</v>
      </c>
      <c r="Q2" s="23" t="s">
        <v>7</v>
      </c>
      <c r="R2" s="23" t="s">
        <v>8</v>
      </c>
      <c r="S2" s="23" t="s">
        <v>9</v>
      </c>
      <c r="T2" s="28" t="s">
        <v>10</v>
      </c>
      <c r="U2" s="23" t="s">
        <v>11</v>
      </c>
      <c r="V2" s="29" t="s">
        <v>12</v>
      </c>
      <c r="W2" s="29" t="s">
        <v>13</v>
      </c>
      <c r="X2" s="29" t="s">
        <v>14</v>
      </c>
      <c r="Z2" s="27"/>
      <c r="AA2" s="32"/>
      <c r="AB2" s="27"/>
      <c r="AC2" s="27"/>
      <c r="AD2" s="27"/>
      <c r="AE2" s="27"/>
      <c r="AF2" s="27"/>
      <c r="AG2" s="27"/>
    </row>
    <row r="3" spans="1:33" x14ac:dyDescent="0.25">
      <c r="A3" s="33">
        <v>41127</v>
      </c>
      <c r="B3" s="34">
        <v>0</v>
      </c>
      <c r="C3" s="34">
        <v>0</v>
      </c>
      <c r="D3" s="35">
        <f t="shared" ref="D3:D26" si="0">(F3-1)/1*1000000</f>
        <v>10.099999999901854</v>
      </c>
      <c r="E3" s="35"/>
      <c r="F3" s="36">
        <v>1.0000100999999999</v>
      </c>
      <c r="G3" s="37">
        <v>6.666666666666666E-7</v>
      </c>
      <c r="H3" s="38">
        <f t="shared" ref="H3:H26" ca="1" si="1">_xlfn.FORECAST.LINEAR($C3,Known_ys_PN010001,Known_xs_PN010001)</f>
        <v>1.0000103372424334</v>
      </c>
      <c r="I3" s="38">
        <f t="shared" ref="I3:I26" ca="1" si="2">$H3-ABS(_xlfn.T.INV(0.025,df_PN010001))*(Syx_PN010001*SQRT(1+1/n_PN010001+($C3-XBar_PN010001)^2/SSx_PN010001))</f>
        <v>1.0000098385397864</v>
      </c>
      <c r="J3" s="38">
        <f t="shared" ref="J3:J26" ca="1" si="3">$H3+ABS(_xlfn.T.INV(0.025,df_PN010001))*(Syx_PN010001*SQRT(1+1/n_PN010001+($C3-XBar_PN010001)^2/SSx_PN010001))</f>
        <v>1.0000108359450803</v>
      </c>
      <c r="K3" s="25"/>
      <c r="L3" s="30" t="s">
        <v>16</v>
      </c>
      <c r="M3" s="31">
        <f>n_PN010001-2</f>
        <v>19</v>
      </c>
      <c r="N3" s="25"/>
      <c r="O3" s="33">
        <v>42864</v>
      </c>
      <c r="P3" s="34">
        <v>0</v>
      </c>
      <c r="Q3" s="34">
        <v>0</v>
      </c>
      <c r="R3" s="35">
        <f t="shared" ref="R3:R17" si="4">(T3-1)/1*1000000</f>
        <v>9.3000000001008942</v>
      </c>
      <c r="S3" s="39"/>
      <c r="T3" s="36">
        <v>1.0000093000000001</v>
      </c>
      <c r="U3" s="37">
        <v>3.8000000000000001E-7</v>
      </c>
      <c r="V3" s="38">
        <f t="shared" ref="V3:V17" ca="1" si="5">_xlfn.FORECAST.LINEAR($Q3,Known_ys_PN010022,Known_xs_PN010022)</f>
        <v>1.0000095475802675</v>
      </c>
      <c r="W3" s="38">
        <f t="shared" ref="W3:W17" ca="1" si="6">$V3-ABS(_xlfn.T.INV(0.025,df_PN010022))*(Syx_PN010022*SQRT(1+1/n_PN010022+($Q3-XBar_PN010022)^2/SSx_PN010022))</f>
        <v>1.0000089842563293</v>
      </c>
      <c r="X3" s="38">
        <f t="shared" ref="X3:X17" ca="1" si="7">$V3+ABS(_xlfn.T.INV(0.025,df_PN010022))*(Syx_PN010022*SQRT(1+1/n_PN010022+($Q3-XBar_PN010022)^2/SSx_PN010022))</f>
        <v>1.0000101109042057</v>
      </c>
      <c r="Z3" s="27"/>
      <c r="AA3" s="32"/>
      <c r="AB3" s="27"/>
      <c r="AC3" s="27"/>
      <c r="AD3" s="27"/>
      <c r="AE3" s="27"/>
      <c r="AF3" s="27"/>
      <c r="AG3" s="27"/>
    </row>
    <row r="4" spans="1:33" x14ac:dyDescent="0.25">
      <c r="A4" s="33">
        <v>41318</v>
      </c>
      <c r="B4" s="34">
        <f t="shared" ref="B4:B26" si="8">A4-A3</f>
        <v>191</v>
      </c>
      <c r="C4" s="34">
        <f>SUM($B$4:$B4)</f>
        <v>191</v>
      </c>
      <c r="D4" s="35">
        <f t="shared" si="0"/>
        <v>10.899999999924859</v>
      </c>
      <c r="E4" s="39">
        <f t="shared" ref="E4:E26" si="9">D4-D3</f>
        <v>0.80000000002300453</v>
      </c>
      <c r="F4" s="36">
        <v>1.0000108999999999</v>
      </c>
      <c r="G4" s="37">
        <v>6.666666666666666E-7</v>
      </c>
      <c r="H4" s="38">
        <f t="shared" ca="1" si="1"/>
        <v>1.0000106145252183</v>
      </c>
      <c r="I4" s="38">
        <f t="shared" ca="1" si="2"/>
        <v>1.0000101196964262</v>
      </c>
      <c r="J4" s="38">
        <f t="shared" ca="1" si="3"/>
        <v>1.0000111093540105</v>
      </c>
      <c r="K4" s="25"/>
      <c r="L4" s="30" t="s">
        <v>17</v>
      </c>
      <c r="M4" s="40">
        <f ca="1">AVERAGE(OFFSET($C$3,,,COUNTA($C:$C)-3))</f>
        <v>2352.0476190476193</v>
      </c>
      <c r="N4" s="25"/>
      <c r="O4" s="33">
        <v>43096</v>
      </c>
      <c r="P4" s="34">
        <f t="shared" ref="P4:P17" si="10">O4-O3</f>
        <v>232</v>
      </c>
      <c r="Q4" s="34">
        <f>SUM($P$4:$P4)</f>
        <v>232</v>
      </c>
      <c r="R4" s="35">
        <f t="shared" si="4"/>
        <v>9.6999999998903519</v>
      </c>
      <c r="S4" s="39">
        <f t="shared" ref="S4:S17" si="11">R4-R3</f>
        <v>0.39999999978945766</v>
      </c>
      <c r="T4" s="36">
        <v>1.0000096999999999</v>
      </c>
      <c r="U4" s="37">
        <v>3.8000000000000001E-7</v>
      </c>
      <c r="V4" s="38">
        <f t="shared" ca="1" si="5"/>
        <v>1.0000097597174853</v>
      </c>
      <c r="W4" s="38">
        <f t="shared" ca="1" si="6"/>
        <v>1.0000092081906193</v>
      </c>
      <c r="X4" s="38">
        <f t="shared" ca="1" si="7"/>
        <v>1.0000103112443512</v>
      </c>
      <c r="Z4" s="27"/>
      <c r="AA4" s="32"/>
      <c r="AB4" s="27"/>
      <c r="AC4" s="27"/>
      <c r="AD4" s="27"/>
      <c r="AE4" s="27"/>
      <c r="AF4" s="27"/>
      <c r="AG4" s="27"/>
    </row>
    <row r="5" spans="1:33" x14ac:dyDescent="0.25">
      <c r="A5" s="33">
        <v>41523</v>
      </c>
      <c r="B5" s="34">
        <f t="shared" si="8"/>
        <v>205</v>
      </c>
      <c r="C5" s="34">
        <f>SUM($B$4:$B5)</f>
        <v>396</v>
      </c>
      <c r="D5" s="35">
        <f t="shared" si="0"/>
        <v>10.999999999983245</v>
      </c>
      <c r="E5" s="39">
        <f t="shared" si="9"/>
        <v>0.10000000005838672</v>
      </c>
      <c r="F5" s="36">
        <v>1.000011</v>
      </c>
      <c r="G5" s="37">
        <v>6.666666666666666E-7</v>
      </c>
      <c r="H5" s="38">
        <f t="shared" ca="1" si="1"/>
        <v>1.0000109121323961</v>
      </c>
      <c r="I5" s="38">
        <f t="shared" ca="1" si="2"/>
        <v>1.0000104211261931</v>
      </c>
      <c r="J5" s="38">
        <f t="shared" ca="1" si="3"/>
        <v>1.0000114031385992</v>
      </c>
      <c r="K5" s="25"/>
      <c r="L5" s="30" t="s">
        <v>18</v>
      </c>
      <c r="M5" s="40">
        <f ca="1">STEYX(OFFSET($F$3,,,n_PN010001),OFFSET($C$3,,,n_PN010001))</f>
        <v>2.2092843343469949E-7</v>
      </c>
      <c r="N5" s="25"/>
      <c r="O5" s="33">
        <v>43292</v>
      </c>
      <c r="P5" s="34">
        <f t="shared" si="10"/>
        <v>196</v>
      </c>
      <c r="Q5" s="34">
        <f>SUM($P$4:$P5)</f>
        <v>428</v>
      </c>
      <c r="R5" s="35">
        <f t="shared" si="4"/>
        <v>9.6099999999932351</v>
      </c>
      <c r="S5" s="39">
        <f t="shared" si="11"/>
        <v>-8.9999999897116822E-2</v>
      </c>
      <c r="T5" s="36">
        <v>1.00000961</v>
      </c>
      <c r="U5" s="37">
        <v>2.4999999999999999E-7</v>
      </c>
      <c r="V5" s="38">
        <f t="shared" ca="1" si="5"/>
        <v>1.0000099389368589</v>
      </c>
      <c r="W5" s="38">
        <f t="shared" ca="1" si="6"/>
        <v>1.0000093959186478</v>
      </c>
      <c r="X5" s="38">
        <f t="shared" ca="1" si="7"/>
        <v>1.0000104819550699</v>
      </c>
      <c r="Z5" s="27"/>
      <c r="AA5" s="32"/>
      <c r="AB5" s="27"/>
      <c r="AC5" s="27"/>
      <c r="AD5" s="27"/>
      <c r="AE5" s="27"/>
      <c r="AF5" s="27"/>
      <c r="AG5" s="27"/>
    </row>
    <row r="6" spans="1:33" x14ac:dyDescent="0.25">
      <c r="A6" s="33">
        <v>41738</v>
      </c>
      <c r="B6" s="34">
        <f t="shared" si="8"/>
        <v>215</v>
      </c>
      <c r="C6" s="34">
        <f>SUM($B$4:$B6)</f>
        <v>611</v>
      </c>
      <c r="D6" s="35">
        <f t="shared" si="0"/>
        <v>11.399999999994748</v>
      </c>
      <c r="E6" s="39">
        <f t="shared" si="9"/>
        <v>0.40000000001150227</v>
      </c>
      <c r="F6" s="36">
        <v>1.0000114</v>
      </c>
      <c r="G6" s="37">
        <v>5.9999999999999997E-7</v>
      </c>
      <c r="H6" s="38">
        <f t="shared" ca="1" si="1"/>
        <v>1.000011224256997</v>
      </c>
      <c r="I6" s="38">
        <f t="shared" ca="1" si="2"/>
        <v>1.0000107368782858</v>
      </c>
      <c r="J6" s="38">
        <f t="shared" ca="1" si="3"/>
        <v>1.0000117116357081</v>
      </c>
      <c r="K6" s="25"/>
      <c r="L6" s="30" t="s">
        <v>19</v>
      </c>
      <c r="M6" s="40">
        <f ca="1">DEVSQ(OFFSET($C$3,,,n_PN010001))</f>
        <v>47888868.952380955</v>
      </c>
      <c r="N6" s="25"/>
      <c r="O6" s="33">
        <v>43515</v>
      </c>
      <c r="P6" s="34">
        <f t="shared" si="10"/>
        <v>223</v>
      </c>
      <c r="Q6" s="34">
        <f>SUM($P$4:$P6)</f>
        <v>651</v>
      </c>
      <c r="R6" s="35">
        <f t="shared" si="4"/>
        <v>10.449999999995185</v>
      </c>
      <c r="S6" s="39">
        <f t="shared" si="11"/>
        <v>0.8400000000019503</v>
      </c>
      <c r="T6" s="36">
        <v>1.00001045</v>
      </c>
      <c r="U6" s="37">
        <v>3.3999999999999997E-7</v>
      </c>
      <c r="V6" s="38">
        <f t="shared" ca="1" si="5"/>
        <v>1.0000101428446155</v>
      </c>
      <c r="W6" s="38">
        <f t="shared" ca="1" si="6"/>
        <v>1.0000096077974581</v>
      </c>
      <c r="X6" s="38">
        <f t="shared" ca="1" si="7"/>
        <v>1.000010677891773</v>
      </c>
      <c r="Z6" s="27"/>
      <c r="AA6" s="32"/>
      <c r="AB6" s="27"/>
      <c r="AC6" s="27"/>
      <c r="AD6" s="27"/>
      <c r="AE6" s="27"/>
      <c r="AF6" s="27"/>
      <c r="AG6" s="27"/>
    </row>
    <row r="7" spans="1:33" x14ac:dyDescent="0.25">
      <c r="A7" s="33">
        <v>41946</v>
      </c>
      <c r="B7" s="34">
        <f t="shared" si="8"/>
        <v>208</v>
      </c>
      <c r="C7" s="34">
        <f>SUM($B$4:$B7)</f>
        <v>819</v>
      </c>
      <c r="D7" s="35">
        <f t="shared" si="0"/>
        <v>11.599999999889476</v>
      </c>
      <c r="E7" s="39">
        <f t="shared" si="9"/>
        <v>0.19999999989472883</v>
      </c>
      <c r="F7" s="36">
        <v>1.0000115999999999</v>
      </c>
      <c r="G7" s="37">
        <v>3.8000000000000001E-7</v>
      </c>
      <c r="H7" s="38">
        <f t="shared" ca="1" si="1"/>
        <v>1.0000115262194016</v>
      </c>
      <c r="I7" s="38">
        <f t="shared" ca="1" si="2"/>
        <v>1.0000110419701671</v>
      </c>
      <c r="J7" s="38">
        <f t="shared" ca="1" si="3"/>
        <v>1.0000120104686361</v>
      </c>
      <c r="K7" s="25"/>
      <c r="L7" s="25"/>
      <c r="M7" s="25"/>
      <c r="N7" s="25"/>
      <c r="O7" s="33">
        <v>43686</v>
      </c>
      <c r="P7" s="34">
        <f t="shared" si="10"/>
        <v>171</v>
      </c>
      <c r="Q7" s="34">
        <f>SUM($P$4:$P7)</f>
        <v>822</v>
      </c>
      <c r="R7" s="35">
        <f t="shared" si="4"/>
        <v>10.199999999960241</v>
      </c>
      <c r="S7" s="39">
        <f t="shared" si="11"/>
        <v>-0.25000000003494449</v>
      </c>
      <c r="T7" s="36">
        <v>1.0000102</v>
      </c>
      <c r="U7" s="37">
        <v>3.3999999999999997E-7</v>
      </c>
      <c r="V7" s="38">
        <f t="shared" ca="1" si="5"/>
        <v>1.0000102992043751</v>
      </c>
      <c r="W7" s="38">
        <f t="shared" ca="1" si="6"/>
        <v>1.0000097689873886</v>
      </c>
      <c r="X7" s="38">
        <f t="shared" ca="1" si="7"/>
        <v>1.0000108294213617</v>
      </c>
      <c r="Z7" s="27"/>
      <c r="AA7" s="32"/>
      <c r="AB7" s="27"/>
      <c r="AC7" s="27"/>
      <c r="AD7" s="27"/>
      <c r="AE7" s="27"/>
      <c r="AF7" s="27"/>
      <c r="AG7" s="27"/>
    </row>
    <row r="8" spans="1:33" ht="12" customHeight="1" x14ac:dyDescent="0.25">
      <c r="A8" s="33">
        <v>42163</v>
      </c>
      <c r="B8" s="34">
        <f t="shared" si="8"/>
        <v>217</v>
      </c>
      <c r="C8" s="34">
        <f>SUM($B$4:$B8)</f>
        <v>1036</v>
      </c>
      <c r="D8" s="35">
        <f t="shared" si="0"/>
        <v>11.699999999947863</v>
      </c>
      <c r="E8" s="39">
        <f t="shared" si="9"/>
        <v>0.10000000005838672</v>
      </c>
      <c r="F8" s="36">
        <v>1.0000116999999999</v>
      </c>
      <c r="G8" s="37">
        <v>3.8000000000000001E-7</v>
      </c>
      <c r="H8" s="38">
        <f t="shared" ca="1" si="1"/>
        <v>1.0000118412474872</v>
      </c>
      <c r="I8" s="38">
        <f t="shared" ca="1" si="2"/>
        <v>1.0000113598569533</v>
      </c>
      <c r="J8" s="38">
        <f t="shared" ca="1" si="3"/>
        <v>1.0000123226380211</v>
      </c>
      <c r="K8" s="25"/>
      <c r="L8" s="53" t="s">
        <v>20</v>
      </c>
      <c r="M8" s="54"/>
      <c r="N8" s="25"/>
      <c r="O8" s="33">
        <v>43830</v>
      </c>
      <c r="P8" s="34">
        <f t="shared" si="10"/>
        <v>144</v>
      </c>
      <c r="Q8" s="34">
        <f>SUM($P$4:$P8)</f>
        <v>966</v>
      </c>
      <c r="R8" s="35">
        <f t="shared" si="4"/>
        <v>10.980000000104795</v>
      </c>
      <c r="S8" s="39">
        <f t="shared" si="11"/>
        <v>0.78000000014455395</v>
      </c>
      <c r="T8" s="36">
        <v>1.0000109800000001</v>
      </c>
      <c r="U8" s="37">
        <v>3.3999999999999997E-7</v>
      </c>
      <c r="V8" s="38">
        <f t="shared" ca="1" si="5"/>
        <v>1.0000104308757518</v>
      </c>
      <c r="W8" s="38">
        <f t="shared" ca="1" si="6"/>
        <v>1.0000099038375003</v>
      </c>
      <c r="X8" s="38">
        <f t="shared" ca="1" si="7"/>
        <v>1.0000109579140033</v>
      </c>
      <c r="Z8" s="27"/>
      <c r="AA8" s="32"/>
      <c r="AB8" s="27"/>
      <c r="AC8" s="27"/>
      <c r="AD8" s="27"/>
      <c r="AE8" s="27"/>
      <c r="AF8" s="27"/>
      <c r="AG8" s="27"/>
    </row>
    <row r="9" spans="1:33" x14ac:dyDescent="0.25">
      <c r="A9" s="33">
        <v>42381</v>
      </c>
      <c r="B9" s="34">
        <f t="shared" si="8"/>
        <v>218</v>
      </c>
      <c r="C9" s="34">
        <f>SUM($B$4:$B9)</f>
        <v>1254</v>
      </c>
      <c r="D9" s="35">
        <f t="shared" si="0"/>
        <v>11.760000000027304</v>
      </c>
      <c r="E9" s="39">
        <f t="shared" si="9"/>
        <v>6.0000000079440952E-2</v>
      </c>
      <c r="F9" s="36">
        <v>1.00001176</v>
      </c>
      <c r="G9" s="37">
        <v>3.8000000000000001E-7</v>
      </c>
      <c r="H9" s="38">
        <f t="shared" ca="1" si="1"/>
        <v>1.0000121577273151</v>
      </c>
      <c r="I9" s="38">
        <f t="shared" ca="1" si="2"/>
        <v>1.0000116787836211</v>
      </c>
      <c r="J9" s="38">
        <f t="shared" ca="1" si="3"/>
        <v>1.0000126366710091</v>
      </c>
      <c r="K9" s="25"/>
      <c r="L9" s="30" t="s">
        <v>15</v>
      </c>
      <c r="M9" s="31">
        <f>COUNTA($T:$T)-2</f>
        <v>14</v>
      </c>
      <c r="N9" s="25"/>
      <c r="O9" s="33">
        <v>44175</v>
      </c>
      <c r="P9" s="34">
        <f t="shared" si="10"/>
        <v>345</v>
      </c>
      <c r="Q9" s="34">
        <f>SUM($P$4:$P9)</f>
        <v>1311</v>
      </c>
      <c r="R9" s="35">
        <f t="shared" si="4"/>
        <v>10.980000000104795</v>
      </c>
      <c r="S9" s="39">
        <f t="shared" si="11"/>
        <v>0</v>
      </c>
      <c r="T9" s="36">
        <v>1.0000109800000001</v>
      </c>
      <c r="U9" s="37">
        <v>3.3999999999999997E-7</v>
      </c>
      <c r="V9" s="38">
        <f t="shared" ca="1" si="5"/>
        <v>1.0000107463384247</v>
      </c>
      <c r="W9" s="38">
        <f t="shared" ca="1" si="6"/>
        <v>1.0000102235253014</v>
      </c>
      <c r="X9" s="38">
        <f t="shared" ca="1" si="7"/>
        <v>1.0000112691515479</v>
      </c>
      <c r="Z9" s="27"/>
      <c r="AA9" s="32"/>
      <c r="AB9" s="27"/>
      <c r="AC9" s="27"/>
      <c r="AD9" s="27"/>
      <c r="AE9" s="27"/>
      <c r="AF9" s="27"/>
      <c r="AG9" s="27"/>
    </row>
    <row r="10" spans="1:33" x14ac:dyDescent="0.25">
      <c r="A10" s="33">
        <v>42676</v>
      </c>
      <c r="B10" s="34">
        <f t="shared" si="8"/>
        <v>295</v>
      </c>
      <c r="C10" s="34">
        <f>SUM($B$4:$B10)</f>
        <v>1549</v>
      </c>
      <c r="D10" s="35">
        <f t="shared" si="0"/>
        <v>12.09000000002014</v>
      </c>
      <c r="E10" s="39">
        <f t="shared" si="9"/>
        <v>0.32999999999283602</v>
      </c>
      <c r="F10" s="36">
        <v>1.00001209</v>
      </c>
      <c r="G10" s="37">
        <v>3.8000000000000001E-7</v>
      </c>
      <c r="H10" s="38">
        <f t="shared" ca="1" si="1"/>
        <v>1.0000125859913025</v>
      </c>
      <c r="I10" s="38">
        <f t="shared" ca="1" si="2"/>
        <v>1.0000121096689198</v>
      </c>
      <c r="J10" s="38">
        <f t="shared" ca="1" si="3"/>
        <v>1.0000130623136851</v>
      </c>
      <c r="K10" s="25"/>
      <c r="L10" s="30" t="s">
        <v>16</v>
      </c>
      <c r="M10" s="31">
        <f>n_PN010022-2</f>
        <v>12</v>
      </c>
      <c r="N10" s="25"/>
      <c r="O10" s="33">
        <v>44426</v>
      </c>
      <c r="P10" s="34">
        <f t="shared" si="10"/>
        <v>251</v>
      </c>
      <c r="Q10" s="34">
        <f>SUM($P$4:$P10)</f>
        <v>1562</v>
      </c>
      <c r="R10" s="35">
        <f t="shared" si="4"/>
        <v>10.819999999966967</v>
      </c>
      <c r="S10" s="39">
        <f t="shared" si="11"/>
        <v>-0.16000000013782767</v>
      </c>
      <c r="T10" s="36">
        <v>1.00001082</v>
      </c>
      <c r="U10" s="37">
        <v>3.3999999999999997E-7</v>
      </c>
      <c r="V10" s="38">
        <f t="shared" ca="1" si="5"/>
        <v>1.000010975848949</v>
      </c>
      <c r="W10" s="38">
        <f t="shared" ca="1" si="6"/>
        <v>1.0000104530556717</v>
      </c>
      <c r="X10" s="38">
        <f t="shared" ca="1" si="7"/>
        <v>1.0000114986422264</v>
      </c>
      <c r="Z10" s="27"/>
      <c r="AA10" s="32"/>
      <c r="AB10" s="27"/>
      <c r="AC10" s="27"/>
      <c r="AD10" s="27"/>
      <c r="AE10" s="27"/>
      <c r="AF10" s="27"/>
      <c r="AG10" s="27"/>
    </row>
    <row r="11" spans="1:33" x14ac:dyDescent="0.25">
      <c r="A11" s="33">
        <v>42983</v>
      </c>
      <c r="B11" s="34">
        <f t="shared" si="8"/>
        <v>307</v>
      </c>
      <c r="C11" s="34">
        <f>SUM($B$4:$B11)</f>
        <v>1856</v>
      </c>
      <c r="D11" s="35">
        <f t="shared" si="0"/>
        <v>13.100000000099143</v>
      </c>
      <c r="E11" s="39">
        <f t="shared" si="9"/>
        <v>1.0100000000790033</v>
      </c>
      <c r="F11" s="36">
        <v>1.0000131000000001</v>
      </c>
      <c r="G11" s="37">
        <v>3.8000000000000001E-7</v>
      </c>
      <c r="H11" s="38">
        <f t="shared" ca="1" si="1"/>
        <v>1.0000130316761977</v>
      </c>
      <c r="I11" s="38">
        <f t="shared" ca="1" si="2"/>
        <v>1.0000125572267391</v>
      </c>
      <c r="J11" s="38">
        <f t="shared" ca="1" si="3"/>
        <v>1.0000135061256563</v>
      </c>
      <c r="K11" s="25"/>
      <c r="L11" s="30" t="s">
        <v>17</v>
      </c>
      <c r="M11" s="40">
        <f ca="1">AVERAGE(OFFSET($Q$3,,,COUNTA($Q:$Q)-3))</f>
        <v>1438.4285714285713</v>
      </c>
      <c r="N11" s="25"/>
      <c r="O11" s="33">
        <v>44658</v>
      </c>
      <c r="P11" s="34">
        <f t="shared" si="10"/>
        <v>232</v>
      </c>
      <c r="Q11" s="34">
        <f>SUM($P$4:$P11)</f>
        <v>1794</v>
      </c>
      <c r="R11" s="35">
        <f t="shared" si="4"/>
        <v>11.170000000060298</v>
      </c>
      <c r="S11" s="39">
        <f t="shared" si="11"/>
        <v>0.35000000009333121</v>
      </c>
      <c r="T11" s="36">
        <v>1.0000111700000001</v>
      </c>
      <c r="U11" s="37">
        <v>3.3999999999999997E-7</v>
      </c>
      <c r="V11" s="38">
        <f t="shared" ca="1" si="5"/>
        <v>1.0000111879861668</v>
      </c>
      <c r="W11" s="38">
        <f t="shared" ca="1" si="6"/>
        <v>1.0000106629190992</v>
      </c>
      <c r="X11" s="38">
        <f t="shared" ca="1" si="7"/>
        <v>1.0000117130532344</v>
      </c>
      <c r="Z11" s="27"/>
      <c r="AA11" s="32"/>
      <c r="AB11" s="27"/>
      <c r="AC11" s="27"/>
      <c r="AD11" s="27"/>
      <c r="AE11" s="27"/>
      <c r="AF11" s="27"/>
      <c r="AG11" s="27"/>
    </row>
    <row r="12" spans="1:33" x14ac:dyDescent="0.25">
      <c r="A12" s="33">
        <v>43188</v>
      </c>
      <c r="B12" s="34">
        <f t="shared" si="8"/>
        <v>205</v>
      </c>
      <c r="C12" s="34">
        <f>SUM($B$4:$B12)</f>
        <v>2061</v>
      </c>
      <c r="D12" s="35">
        <f t="shared" si="0"/>
        <v>13.599999999946988</v>
      </c>
      <c r="E12" s="39">
        <f t="shared" si="9"/>
        <v>0.49999999984784438</v>
      </c>
      <c r="F12" s="36">
        <v>1.0000135999999999</v>
      </c>
      <c r="G12" s="37">
        <v>3.8000000000000001E-7</v>
      </c>
      <c r="H12" s="38">
        <f t="shared" ca="1" si="1"/>
        <v>1.0000133292833753</v>
      </c>
      <c r="I12" s="38">
        <f t="shared" ca="1" si="2"/>
        <v>1.0000128555937637</v>
      </c>
      <c r="J12" s="38">
        <f t="shared" ca="1" si="3"/>
        <v>1.0000138029729868</v>
      </c>
      <c r="K12" s="25"/>
      <c r="L12" s="30" t="s">
        <v>18</v>
      </c>
      <c r="M12" s="40">
        <f ca="1">STEYX(OFFSET($T$3,,,n_PN010001),OFFSET($Q$3,,,n_PN010001))</f>
        <v>2.3166918361692767E-7</v>
      </c>
      <c r="N12" s="25"/>
      <c r="O12" s="33">
        <v>44865</v>
      </c>
      <c r="P12" s="34">
        <f t="shared" si="10"/>
        <v>207</v>
      </c>
      <c r="Q12" s="34">
        <f>SUM($P$4:$P12)</f>
        <v>2001</v>
      </c>
      <c r="R12" s="26">
        <f t="shared" si="4"/>
        <v>11.350000000076577</v>
      </c>
      <c r="S12" s="39">
        <f t="shared" si="11"/>
        <v>0.18000000001627825</v>
      </c>
      <c r="T12" s="36">
        <v>1.0000113500000001</v>
      </c>
      <c r="U12" s="37">
        <v>3.3999999999999997E-7</v>
      </c>
      <c r="V12" s="38">
        <f t="shared" ca="1" si="5"/>
        <v>1.0000113772637707</v>
      </c>
      <c r="W12" s="38">
        <f t="shared" ca="1" si="6"/>
        <v>1.0000108483317773</v>
      </c>
      <c r="X12" s="38">
        <f t="shared" ca="1" si="7"/>
        <v>1.000011906195764</v>
      </c>
      <c r="Z12" s="27"/>
      <c r="AA12" s="32"/>
      <c r="AB12" s="27"/>
      <c r="AC12" s="27"/>
      <c r="AD12" s="27"/>
      <c r="AE12" s="27"/>
      <c r="AF12" s="27"/>
      <c r="AG12" s="27"/>
    </row>
    <row r="13" spans="1:33" x14ac:dyDescent="0.25">
      <c r="A13" s="33">
        <v>43391</v>
      </c>
      <c r="B13" s="34">
        <f t="shared" si="8"/>
        <v>203</v>
      </c>
      <c r="C13" s="34">
        <f>SUM($B$4:$B13)</f>
        <v>2264</v>
      </c>
      <c r="D13" s="35">
        <f t="shared" si="0"/>
        <v>13.700000000005375</v>
      </c>
      <c r="E13" s="39">
        <f t="shared" si="9"/>
        <v>0.10000000005838672</v>
      </c>
      <c r="F13" s="36">
        <v>1.0000137</v>
      </c>
      <c r="G13" s="37">
        <v>3.8000000000000001E-7</v>
      </c>
      <c r="H13" s="38">
        <f t="shared" ca="1" si="1"/>
        <v>1.0000136239870683</v>
      </c>
      <c r="I13" s="38">
        <f t="shared" ca="1" si="2"/>
        <v>1.0000131506602874</v>
      </c>
      <c r="J13" s="38">
        <f t="shared" ca="1" si="3"/>
        <v>1.0000140973138492</v>
      </c>
      <c r="K13" s="25"/>
      <c r="L13" s="30" t="s">
        <v>19</v>
      </c>
      <c r="M13" s="40">
        <f ca="1">DEVSQ(OFFSET($Q$3,,,n_PN010022))</f>
        <v>11887091.428571429</v>
      </c>
      <c r="N13" s="25"/>
      <c r="O13" s="33">
        <v>45097</v>
      </c>
      <c r="P13" s="34">
        <f t="shared" si="10"/>
        <v>232</v>
      </c>
      <c r="Q13" s="34">
        <f>SUM($P$4:$P13)</f>
        <v>2233</v>
      </c>
      <c r="R13" s="26">
        <f t="shared" si="4"/>
        <v>11.559999999910531</v>
      </c>
      <c r="S13" s="39">
        <f t="shared" si="11"/>
        <v>0.20999999983395412</v>
      </c>
      <c r="T13" s="36">
        <v>1.0000115599999999</v>
      </c>
      <c r="U13" s="37">
        <v>3.3999999999999997E-7</v>
      </c>
      <c r="V13" s="38">
        <f t="shared" ca="1" si="5"/>
        <v>1.0000115894009884</v>
      </c>
      <c r="W13" s="38">
        <f t="shared" ca="1" si="6"/>
        <v>1.0000110541275409</v>
      </c>
      <c r="X13" s="38">
        <f t="shared" ca="1" si="7"/>
        <v>1.000012124674436</v>
      </c>
      <c r="Z13" s="27"/>
      <c r="AA13" s="32"/>
      <c r="AB13" s="27"/>
      <c r="AC13" s="27"/>
      <c r="AD13" s="27"/>
      <c r="AE13" s="27"/>
      <c r="AF13" s="27"/>
      <c r="AG13" s="27"/>
    </row>
    <row r="14" spans="1:33" ht="14.45" customHeight="1" x14ac:dyDescent="0.25">
      <c r="A14" s="33">
        <v>43598</v>
      </c>
      <c r="B14" s="34">
        <f t="shared" si="8"/>
        <v>207</v>
      </c>
      <c r="C14" s="34">
        <f>SUM($B$4:$B14)</f>
        <v>2471</v>
      </c>
      <c r="D14" s="35">
        <f t="shared" si="0"/>
        <v>14.160000000096318</v>
      </c>
      <c r="E14" s="39">
        <f t="shared" si="9"/>
        <v>0.46000000009094322</v>
      </c>
      <c r="F14" s="36">
        <v>1.0000141600000001</v>
      </c>
      <c r="G14" s="37">
        <v>3.3999999999999997E-7</v>
      </c>
      <c r="H14" s="38">
        <f t="shared" ca="1" si="1"/>
        <v>1.0000139244977306</v>
      </c>
      <c r="I14" s="38">
        <f t="shared" ca="1" si="2"/>
        <v>1.0000134511407774</v>
      </c>
      <c r="J14" s="38">
        <f t="shared" ca="1" si="3"/>
        <v>1.0000143978546838</v>
      </c>
      <c r="K14" s="41"/>
      <c r="L14" s="41"/>
      <c r="M14" s="41"/>
      <c r="N14" s="41"/>
      <c r="O14" s="33">
        <v>45313</v>
      </c>
      <c r="P14" s="34">
        <f t="shared" si="10"/>
        <v>216</v>
      </c>
      <c r="Q14" s="34">
        <f>SUM($P$4:$P14)</f>
        <v>2449</v>
      </c>
      <c r="R14" s="26">
        <f t="shared" si="4"/>
        <v>11.870000000024916</v>
      </c>
      <c r="S14" s="39">
        <f t="shared" si="11"/>
        <v>0.31000000011438544</v>
      </c>
      <c r="T14" s="36">
        <v>1.00001187</v>
      </c>
      <c r="U14" s="37">
        <v>3.3999999999999997E-7</v>
      </c>
      <c r="V14" s="38">
        <f t="shared" ca="1" si="5"/>
        <v>1.0000117869080531</v>
      </c>
      <c r="W14" s="38">
        <f t="shared" ca="1" si="6"/>
        <v>1.000011243884144</v>
      </c>
      <c r="X14" s="38">
        <f t="shared" ca="1" si="7"/>
        <v>1.0000123299319623</v>
      </c>
      <c r="Z14" s="27"/>
      <c r="AA14" s="32"/>
      <c r="AB14" s="27"/>
      <c r="AC14" s="27"/>
      <c r="AD14" s="27"/>
      <c r="AE14" s="27"/>
      <c r="AF14" s="27"/>
      <c r="AG14" s="27"/>
    </row>
    <row r="15" spans="1:33" x14ac:dyDescent="0.25">
      <c r="A15" s="33">
        <v>43970</v>
      </c>
      <c r="B15" s="34">
        <f t="shared" si="8"/>
        <v>372</v>
      </c>
      <c r="C15" s="34">
        <f>SUM($B$4:$B15)</f>
        <v>2843</v>
      </c>
      <c r="D15" s="35">
        <f t="shared" si="0"/>
        <v>14.667000000079256</v>
      </c>
      <c r="E15" s="39">
        <f t="shared" si="9"/>
        <v>0.50699999998293777</v>
      </c>
      <c r="F15" s="36">
        <v>1.0000146670000001</v>
      </c>
      <c r="G15" s="37">
        <v>2.4999999999999999E-7</v>
      </c>
      <c r="H15" s="38">
        <f t="shared" ca="1" si="1"/>
        <v>1.0000144645458775</v>
      </c>
      <c r="I15" s="38">
        <f t="shared" ca="1" si="2"/>
        <v>1.0000139901200829</v>
      </c>
      <c r="J15" s="38">
        <f t="shared" ca="1" si="3"/>
        <v>1.0000149389716722</v>
      </c>
      <c r="L15" s="42"/>
      <c r="M15" s="42"/>
      <c r="O15" s="33">
        <v>45572</v>
      </c>
      <c r="P15" s="34">
        <f t="shared" si="10"/>
        <v>259</v>
      </c>
      <c r="Q15" s="34">
        <f>SUM($P$4:$P15)</f>
        <v>2708</v>
      </c>
      <c r="R15" s="26">
        <f t="shared" si="4"/>
        <v>11.989999999961753</v>
      </c>
      <c r="S15" s="39">
        <f t="shared" si="11"/>
        <v>0.1199999999368373</v>
      </c>
      <c r="T15" s="36">
        <v>1.00001199</v>
      </c>
      <c r="U15" s="37">
        <v>3.3999999999999997E-7</v>
      </c>
      <c r="V15" s="38">
        <f t="shared" ca="1" si="5"/>
        <v>1.0000120237336541</v>
      </c>
      <c r="W15" s="38">
        <f t="shared" ca="1" si="6"/>
        <v>1.0000114691771707</v>
      </c>
      <c r="X15" s="38">
        <f t="shared" ca="1" si="7"/>
        <v>1.0000125782901375</v>
      </c>
      <c r="Z15" s="27"/>
      <c r="AA15" s="32"/>
      <c r="AB15" s="27"/>
      <c r="AC15" s="27"/>
      <c r="AD15" s="27"/>
      <c r="AE15" s="27"/>
      <c r="AF15" s="27"/>
      <c r="AG15" s="27"/>
    </row>
    <row r="16" spans="1:33" x14ac:dyDescent="0.25">
      <c r="A16" s="33">
        <v>44322</v>
      </c>
      <c r="B16" s="34">
        <f t="shared" si="8"/>
        <v>352</v>
      </c>
      <c r="C16" s="34">
        <f>SUM($B$4:$B16)</f>
        <v>3195</v>
      </c>
      <c r="D16" s="35">
        <f t="shared" si="0"/>
        <v>15.061000000038405</v>
      </c>
      <c r="E16" s="39">
        <f t="shared" si="9"/>
        <v>0.39399999995914925</v>
      </c>
      <c r="F16" s="36">
        <v>1.000015061</v>
      </c>
      <c r="G16" s="37">
        <v>3.3999999999999997E-7</v>
      </c>
      <c r="H16" s="38">
        <f t="shared" ca="1" si="1"/>
        <v>1.0000149755591776</v>
      </c>
      <c r="I16" s="38">
        <f t="shared" ca="1" si="2"/>
        <v>1.0000144989290434</v>
      </c>
      <c r="J16" s="38">
        <f t="shared" ca="1" si="3"/>
        <v>1.0000154521893119</v>
      </c>
      <c r="L16" s="43"/>
      <c r="M16" s="42"/>
      <c r="O16" s="33">
        <v>45845</v>
      </c>
      <c r="P16" s="34">
        <f t="shared" si="10"/>
        <v>273</v>
      </c>
      <c r="Q16" s="34">
        <f>SUM($P$4:$P16)</f>
        <v>2981</v>
      </c>
      <c r="R16" s="26">
        <f t="shared" si="4"/>
        <v>12.099999999959365</v>
      </c>
      <c r="S16" s="39">
        <f t="shared" si="11"/>
        <v>0.10999999999761201</v>
      </c>
      <c r="T16" s="36">
        <v>1.0000121</v>
      </c>
      <c r="U16" s="37">
        <v>3.3999999999999997E-7</v>
      </c>
      <c r="V16" s="38">
        <f t="shared" ca="1" si="5"/>
        <v>1.0000122733606387</v>
      </c>
      <c r="W16" s="38">
        <f t="shared" ca="1" si="6"/>
        <v>1.0000117041611973</v>
      </c>
      <c r="X16" s="38">
        <f t="shared" ca="1" si="7"/>
        <v>1.0000128425600801</v>
      </c>
      <c r="AA16" s="36"/>
    </row>
    <row r="17" spans="1:27" x14ac:dyDescent="0.25">
      <c r="A17" s="33">
        <v>44550</v>
      </c>
      <c r="B17" s="34">
        <f t="shared" si="8"/>
        <v>228</v>
      </c>
      <c r="C17" s="34">
        <f>SUM($B$4:$B17)</f>
        <v>3423</v>
      </c>
      <c r="D17" s="35">
        <f t="shared" si="0"/>
        <v>15.330000000091104</v>
      </c>
      <c r="E17" s="39">
        <f t="shared" si="9"/>
        <v>0.26900000005269931</v>
      </c>
      <c r="F17" s="26">
        <v>1.0000153300000001</v>
      </c>
      <c r="G17" s="37">
        <v>3.3999999999999997E-7</v>
      </c>
      <c r="H17" s="38">
        <f t="shared" ca="1" si="1"/>
        <v>1.0000153065564288</v>
      </c>
      <c r="I17" s="38">
        <f t="shared" ca="1" si="2"/>
        <v>1.0000148278867529</v>
      </c>
      <c r="J17" s="38">
        <f t="shared" ca="1" si="3"/>
        <v>1.0000157852261047</v>
      </c>
      <c r="O17" s="33">
        <v>46142</v>
      </c>
      <c r="P17" s="34">
        <f t="shared" si="10"/>
        <v>297</v>
      </c>
      <c r="Q17" s="34">
        <f>SUM($P$4:$P17)</f>
        <v>3278</v>
      </c>
      <c r="R17" s="26">
        <f t="shared" si="4"/>
        <v>12.549999999889039</v>
      </c>
      <c r="S17" s="39">
        <f t="shared" si="11"/>
        <v>0.44999999992967332</v>
      </c>
      <c r="T17" s="36">
        <v>1.0000125499999999</v>
      </c>
      <c r="U17" s="37">
        <v>3.3999999999999997E-7</v>
      </c>
      <c r="V17" s="38">
        <f t="shared" ca="1" si="5"/>
        <v>1.0000125449328527</v>
      </c>
      <c r="W17" s="38">
        <f t="shared" ca="1" si="6"/>
        <v>1.0000119571248405</v>
      </c>
      <c r="X17" s="38">
        <f t="shared" ca="1" si="7"/>
        <v>1.000013132740865</v>
      </c>
      <c r="AA17" s="36"/>
    </row>
    <row r="18" spans="1:27" x14ac:dyDescent="0.25">
      <c r="A18" s="33">
        <v>44757</v>
      </c>
      <c r="B18" s="34">
        <f t="shared" si="8"/>
        <v>207</v>
      </c>
      <c r="C18" s="34">
        <f>SUM($B$4:$B18)</f>
        <v>3630</v>
      </c>
      <c r="D18" s="35">
        <f t="shared" si="0"/>
        <v>15.529999999985833</v>
      </c>
      <c r="E18" s="39">
        <f t="shared" si="9"/>
        <v>0.19999999989472883</v>
      </c>
      <c r="F18" s="26">
        <v>1.00001553</v>
      </c>
      <c r="G18" s="37">
        <v>3.3999999999999997E-7</v>
      </c>
      <c r="H18" s="38">
        <f t="shared" ca="1" si="1"/>
        <v>1.0000156070670911</v>
      </c>
      <c r="I18" s="38">
        <f t="shared" ca="1" si="2"/>
        <v>1.0000151261350547</v>
      </c>
      <c r="J18" s="38">
        <f t="shared" ca="1" si="3"/>
        <v>1.0000160879991276</v>
      </c>
      <c r="T18" s="36"/>
      <c r="X18" s="36"/>
      <c r="AA18" s="36"/>
    </row>
    <row r="19" spans="1:27" x14ac:dyDescent="0.25">
      <c r="A19" s="33">
        <v>44968</v>
      </c>
      <c r="B19" s="34">
        <f t="shared" si="8"/>
        <v>211</v>
      </c>
      <c r="C19" s="34">
        <f>SUM($B$4:$B19)</f>
        <v>3841</v>
      </c>
      <c r="D19" s="35">
        <f t="shared" si="0"/>
        <v>15.990000000076776</v>
      </c>
      <c r="E19" s="39">
        <f t="shared" si="9"/>
        <v>0.46000000009094322</v>
      </c>
      <c r="F19" s="26">
        <v>1.0000159900000001</v>
      </c>
      <c r="G19" s="37">
        <v>3.3999999999999997E-7</v>
      </c>
      <c r="H19" s="38">
        <f t="shared" ca="1" si="1"/>
        <v>1.0000159133847226</v>
      </c>
      <c r="I19" s="38">
        <f t="shared" ca="1" si="2"/>
        <v>1.000015429750212</v>
      </c>
      <c r="J19" s="38">
        <f t="shared" ca="1" si="3"/>
        <v>1.0000163970192333</v>
      </c>
      <c r="T19" s="36"/>
      <c r="X19" s="36"/>
      <c r="AA19" s="36"/>
    </row>
    <row r="20" spans="1:27" x14ac:dyDescent="0.25">
      <c r="A20" s="33">
        <v>45208</v>
      </c>
      <c r="B20" s="34">
        <f t="shared" si="8"/>
        <v>240</v>
      </c>
      <c r="C20" s="34">
        <f>SUM($B$4:$B20)</f>
        <v>4081</v>
      </c>
      <c r="D20" s="35">
        <f t="shared" si="0"/>
        <v>16.019999999894452</v>
      </c>
      <c r="E20" s="39">
        <f t="shared" si="9"/>
        <v>2.9999999817675871E-2</v>
      </c>
      <c r="F20" s="26">
        <v>1.0000160199999999</v>
      </c>
      <c r="G20" s="37">
        <v>3.3999999999999997E-7</v>
      </c>
      <c r="H20" s="38">
        <f t="shared" ca="1" si="1"/>
        <v>1.0000162618028818</v>
      </c>
      <c r="I20" s="38">
        <f t="shared" ca="1" si="2"/>
        <v>1.0000157746164577</v>
      </c>
      <c r="J20" s="38">
        <f t="shared" ca="1" si="3"/>
        <v>1.0000167489893059</v>
      </c>
    </row>
    <row r="21" spans="1:27" ht="14.45" customHeight="1" x14ac:dyDescent="0.25">
      <c r="A21" s="33">
        <v>45519</v>
      </c>
      <c r="B21" s="34">
        <f t="shared" si="8"/>
        <v>311</v>
      </c>
      <c r="C21" s="34">
        <f>SUM($B$4:$B21)</f>
        <v>4392</v>
      </c>
      <c r="D21" s="35">
        <f t="shared" si="0"/>
        <v>16.519999999964341</v>
      </c>
      <c r="E21" s="39">
        <f t="shared" si="9"/>
        <v>0.50000000006988898</v>
      </c>
      <c r="F21" s="26">
        <v>1.00001652</v>
      </c>
      <c r="G21" s="37">
        <v>3.3999999999999997E-7</v>
      </c>
      <c r="H21" s="38">
        <f t="shared" ca="1" si="1"/>
        <v>1.0000167132947464</v>
      </c>
      <c r="I21" s="38">
        <f t="shared" ca="1" si="2"/>
        <v>1.000016220766456</v>
      </c>
      <c r="J21" s="38">
        <f t="shared" ca="1" si="3"/>
        <v>1.0000172058230368</v>
      </c>
      <c r="P21" s="44"/>
    </row>
    <row r="22" spans="1:27" ht="12" customHeight="1" x14ac:dyDescent="0.25">
      <c r="A22" s="33">
        <v>45726</v>
      </c>
      <c r="B22" s="34">
        <f t="shared" si="8"/>
        <v>207</v>
      </c>
      <c r="C22" s="34">
        <f>SUM($B$4:$B22)</f>
        <v>4599</v>
      </c>
      <c r="D22" s="35">
        <f t="shared" si="0"/>
        <v>16.980000000055284</v>
      </c>
      <c r="E22" s="39">
        <f t="shared" si="9"/>
        <v>0.46000000009094322</v>
      </c>
      <c r="F22" s="26">
        <v>1.0000169800000001</v>
      </c>
      <c r="G22" s="37">
        <v>3.3999999999999997E-7</v>
      </c>
      <c r="H22" s="38">
        <f t="shared" ca="1" si="1"/>
        <v>1.0000170138054087</v>
      </c>
      <c r="I22" s="38">
        <f t="shared" ca="1" si="2"/>
        <v>1.0000165172711502</v>
      </c>
      <c r="J22" s="38">
        <f t="shared" ca="1" si="3"/>
        <v>1.0000175103396673</v>
      </c>
      <c r="R22" s="45"/>
    </row>
    <row r="23" spans="1:27" ht="12.95" customHeight="1" x14ac:dyDescent="0.25">
      <c r="A23" s="33">
        <v>46008</v>
      </c>
      <c r="B23" s="34">
        <f t="shared" si="8"/>
        <v>282</v>
      </c>
      <c r="C23" s="34">
        <f>SUM($B$4:$B23)</f>
        <v>4881</v>
      </c>
      <c r="D23" s="46">
        <f t="shared" si="0"/>
        <v>17.579999999961515</v>
      </c>
      <c r="E23" s="39">
        <f t="shared" si="9"/>
        <v>0.5999999999062311</v>
      </c>
      <c r="F23" s="26">
        <v>1.00001758</v>
      </c>
      <c r="G23" s="37">
        <v>3.3999999999999997E-7</v>
      </c>
      <c r="H23" s="38">
        <f t="shared" ca="1" si="1"/>
        <v>1.0000174231967458</v>
      </c>
      <c r="I23" s="38">
        <f t="shared" ca="1" si="2"/>
        <v>1.0000169206435703</v>
      </c>
      <c r="J23" s="38">
        <f t="shared" ca="1" si="3"/>
        <v>1.0000179257499213</v>
      </c>
      <c r="R23" s="45"/>
    </row>
    <row r="24" spans="1:27" ht="12" customHeight="1" x14ac:dyDescent="0.25">
      <c r="A24" s="33">
        <v>46224</v>
      </c>
      <c r="B24" s="34">
        <f t="shared" si="8"/>
        <v>216</v>
      </c>
      <c r="C24" s="34">
        <f>SUM($B$4:$B24)</f>
        <v>5097</v>
      </c>
      <c r="D24" s="46">
        <f t="shared" si="0"/>
        <v>17.900000000015126</v>
      </c>
      <c r="E24" s="39">
        <f t="shared" si="9"/>
        <v>0.32000000005361073</v>
      </c>
      <c r="F24">
        <v>1.0000179</v>
      </c>
      <c r="G24" s="37">
        <v>1.3E-7</v>
      </c>
      <c r="H24" s="38">
        <f t="shared" ca="1" si="1"/>
        <v>1.0000177367730891</v>
      </c>
      <c r="I24" s="38">
        <f t="shared" ca="1" si="2"/>
        <v>1.0000172291846656</v>
      </c>
      <c r="J24" s="38">
        <f t="shared" ca="1" si="3"/>
        <v>1.0000182443615127</v>
      </c>
      <c r="R24" s="45"/>
    </row>
    <row r="25" spans="1:27" ht="12" customHeight="1" x14ac:dyDescent="0.25">
      <c r="A25" s="50"/>
      <c r="B25" s="34"/>
      <c r="C25"/>
      <c r="D25" s="47"/>
      <c r="E25" s="48"/>
      <c r="F25"/>
      <c r="G25"/>
      <c r="H25"/>
      <c r="I25"/>
      <c r="J25"/>
      <c r="R25" s="45"/>
    </row>
    <row r="26" spans="1:27" ht="12" customHeight="1" x14ac:dyDescent="0.25">
      <c r="A26" s="50"/>
      <c r="B26" s="49"/>
      <c r="C26"/>
      <c r="D26" s="47"/>
      <c r="E26" s="48"/>
      <c r="F26"/>
      <c r="G26"/>
      <c r="H26"/>
      <c r="I26"/>
      <c r="J26"/>
      <c r="R26" s="45"/>
    </row>
    <row r="27" spans="1:27" ht="12" customHeight="1" x14ac:dyDescent="0.25">
      <c r="B27" s="49"/>
      <c r="D27" s="47"/>
      <c r="E27" s="48"/>
      <c r="R27" s="45"/>
    </row>
    <row r="28" spans="1:27" ht="12" customHeight="1" x14ac:dyDescent="0.25">
      <c r="B28" s="49"/>
      <c r="D28" s="47"/>
      <c r="E28" s="48"/>
      <c r="R28" s="45"/>
    </row>
    <row r="29" spans="1:27" ht="12" customHeight="1" x14ac:dyDescent="0.25">
      <c r="B29" s="49"/>
      <c r="D29" s="47"/>
      <c r="E29" s="48"/>
      <c r="R29" s="45"/>
    </row>
    <row r="30" spans="1:27" ht="12" customHeight="1" x14ac:dyDescent="0.25">
      <c r="B30" s="49"/>
      <c r="D30" s="47"/>
      <c r="E30" s="48"/>
      <c r="R30" s="45"/>
    </row>
    <row r="31" spans="1:27" ht="12" customHeight="1" x14ac:dyDescent="0.25">
      <c r="B31" s="49"/>
      <c r="D31" s="47"/>
      <c r="E31" s="48"/>
      <c r="R31" s="45"/>
    </row>
    <row r="32" spans="1:27" ht="12" customHeight="1" x14ac:dyDescent="0.25">
      <c r="B32" s="49"/>
      <c r="D32" s="47"/>
      <c r="E32" s="48"/>
      <c r="R32" s="45"/>
    </row>
    <row r="33" spans="2:18" ht="12" customHeight="1" x14ac:dyDescent="0.25">
      <c r="B33" s="49"/>
      <c r="D33" s="47"/>
      <c r="E33" s="48"/>
      <c r="R33" s="45"/>
    </row>
    <row r="34" spans="2:18" ht="12" customHeight="1" x14ac:dyDescent="0.25">
      <c r="B34" s="49"/>
      <c r="D34" s="47"/>
      <c r="E34" s="48"/>
      <c r="R34" s="45"/>
    </row>
    <row r="35" spans="2:18" ht="12" customHeight="1" x14ac:dyDescent="0.25">
      <c r="B35" s="49"/>
      <c r="D35" s="47"/>
      <c r="E35" s="48"/>
      <c r="R35" s="45"/>
    </row>
    <row r="36" spans="2:18" ht="12" customHeight="1" x14ac:dyDescent="0.25">
      <c r="B36" s="49"/>
      <c r="D36" s="47"/>
      <c r="R36" s="45"/>
    </row>
    <row r="37" spans="2:18" ht="12" customHeight="1" x14ac:dyDescent="0.25">
      <c r="B37" s="49"/>
      <c r="D37" s="47"/>
      <c r="R37" s="45"/>
    </row>
    <row r="38" spans="2:18" ht="12" customHeight="1" x14ac:dyDescent="0.25">
      <c r="B38" s="49"/>
      <c r="D38" s="47"/>
    </row>
    <row r="39" spans="2:18" ht="12" customHeight="1" x14ac:dyDescent="0.25">
      <c r="B39" s="49"/>
      <c r="D39" s="45"/>
    </row>
    <row r="40" spans="2:18" x14ac:dyDescent="0.25">
      <c r="B40" s="49"/>
    </row>
    <row r="41" spans="2:18" x14ac:dyDescent="0.25">
      <c r="B41" s="49"/>
    </row>
    <row r="42" spans="2:18" x14ac:dyDescent="0.25">
      <c r="B42" s="34"/>
    </row>
    <row r="43" spans="2:18" x14ac:dyDescent="0.25">
      <c r="B43" s="34"/>
    </row>
    <row r="44" spans="2:18" x14ac:dyDescent="0.25">
      <c r="B44" s="34"/>
    </row>
    <row r="45" spans="2:18" x14ac:dyDescent="0.25">
      <c r="B45" s="34"/>
    </row>
    <row r="46" spans="2:18" x14ac:dyDescent="0.25">
      <c r="B46" s="34"/>
    </row>
  </sheetData>
  <mergeCells count="4">
    <mergeCell ref="H1:J1"/>
    <mergeCell ref="L8:M8"/>
    <mergeCell ref="V1:X1"/>
    <mergeCell ref="L1:M1"/>
  </mergeCells>
  <conditionalFormatting sqref="D25:D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"/>
  <sheetViews>
    <sheetView zoomScaleNormal="100" workbookViewId="0">
      <selection activeCell="B47" sqref="B47"/>
    </sheetView>
  </sheetViews>
  <sheetFormatPr defaultColWidth="8.5703125" defaultRowHeight="15" x14ac:dyDescent="0.25"/>
  <cols>
    <col min="1" max="1" width="14" customWidth="1"/>
    <col min="2" max="3" width="12" customWidth="1"/>
    <col min="4" max="5" width="9" customWidth="1"/>
    <col min="6" max="6" width="10" customWidth="1"/>
    <col min="7" max="8" width="9" customWidth="1"/>
    <col min="9" max="9" width="12" customWidth="1"/>
    <col min="10" max="10" width="8" customWidth="1"/>
    <col min="11" max="13" width="9" customWidth="1"/>
  </cols>
  <sheetData>
    <row r="1" spans="1:13" x14ac:dyDescent="0.25">
      <c r="A1" s="21" t="s">
        <v>31</v>
      </c>
      <c r="B1" s="21" t="s">
        <v>32</v>
      </c>
      <c r="C1" s="21" t="s">
        <v>33</v>
      </c>
      <c r="D1" s="21" t="s">
        <v>34</v>
      </c>
      <c r="E1" s="21" t="s">
        <v>35</v>
      </c>
      <c r="F1" s="21" t="s">
        <v>36</v>
      </c>
      <c r="G1" s="21" t="s">
        <v>37</v>
      </c>
      <c r="H1" s="21" t="s">
        <v>38</v>
      </c>
      <c r="I1" s="21" t="s">
        <v>39</v>
      </c>
      <c r="J1" s="21" t="s">
        <v>40</v>
      </c>
      <c r="K1" s="21" t="s">
        <v>41</v>
      </c>
      <c r="L1" s="21" t="s">
        <v>42</v>
      </c>
      <c r="M1" s="21" t="s">
        <v>43</v>
      </c>
    </row>
    <row r="2" spans="1:13" x14ac:dyDescent="0.25">
      <c r="A2" s="21" t="s">
        <v>44</v>
      </c>
      <c r="B2" s="21" t="s">
        <v>45</v>
      </c>
      <c r="C2" s="21">
        <v>0.1</v>
      </c>
      <c r="D2" s="21" t="s">
        <v>46</v>
      </c>
      <c r="E2" s="21" t="s">
        <v>47</v>
      </c>
      <c r="F2" s="21" t="s">
        <v>48</v>
      </c>
      <c r="G2" s="21" t="s">
        <v>49</v>
      </c>
      <c r="H2" s="21" t="s">
        <v>50</v>
      </c>
      <c r="I2" s="21" t="s">
        <v>51</v>
      </c>
      <c r="J2" s="21" t="s">
        <v>52</v>
      </c>
      <c r="K2" s="21" t="s">
        <v>53</v>
      </c>
      <c r="L2" s="21" t="s">
        <v>54</v>
      </c>
      <c r="M2" s="21" t="s">
        <v>55</v>
      </c>
    </row>
    <row r="3" spans="1:13" x14ac:dyDescent="0.25">
      <c r="A3" s="21" t="s">
        <v>56</v>
      </c>
      <c r="B3" s="21" t="s">
        <v>45</v>
      </c>
      <c r="C3" s="21">
        <v>0.1</v>
      </c>
      <c r="D3" s="21" t="s">
        <v>57</v>
      </c>
      <c r="E3" s="21" t="s">
        <v>58</v>
      </c>
      <c r="F3" s="21" t="s">
        <v>59</v>
      </c>
      <c r="G3" s="21" t="s">
        <v>60</v>
      </c>
      <c r="H3" s="21" t="s">
        <v>61</v>
      </c>
      <c r="I3" s="21" t="s">
        <v>62</v>
      </c>
      <c r="J3" s="21" t="s">
        <v>63</v>
      </c>
      <c r="K3" s="21" t="s">
        <v>64</v>
      </c>
      <c r="L3" s="21" t="s">
        <v>65</v>
      </c>
      <c r="M3" s="21" t="s">
        <v>66</v>
      </c>
    </row>
    <row r="4" spans="1:13" x14ac:dyDescent="0.25">
      <c r="A4" s="21" t="s">
        <v>67</v>
      </c>
      <c r="B4" s="21" t="s">
        <v>45</v>
      </c>
      <c r="C4" s="21">
        <v>0.1</v>
      </c>
      <c r="D4" s="21" t="s">
        <v>68</v>
      </c>
      <c r="E4" s="21" t="s">
        <v>69</v>
      </c>
      <c r="F4" s="21" t="s">
        <v>70</v>
      </c>
      <c r="G4" s="21" t="s">
        <v>71</v>
      </c>
      <c r="H4" s="21" t="s">
        <v>72</v>
      </c>
      <c r="I4" s="21" t="s">
        <v>73</v>
      </c>
      <c r="J4" s="21" t="s">
        <v>74</v>
      </c>
      <c r="K4" s="21" t="s">
        <v>75</v>
      </c>
      <c r="L4" s="21" t="s">
        <v>76</v>
      </c>
      <c r="M4" s="21" t="s">
        <v>77</v>
      </c>
    </row>
    <row r="5" spans="1:13" x14ac:dyDescent="0.25">
      <c r="A5" s="21">
        <v>7575006</v>
      </c>
      <c r="B5" s="21" t="s">
        <v>78</v>
      </c>
      <c r="C5" s="21">
        <v>1</v>
      </c>
      <c r="D5" s="21" t="s">
        <v>46</v>
      </c>
      <c r="E5" s="21" t="s">
        <v>47</v>
      </c>
      <c r="F5" s="21" t="s">
        <v>48</v>
      </c>
      <c r="G5" s="21" t="s">
        <v>49</v>
      </c>
      <c r="H5" s="21" t="s">
        <v>50</v>
      </c>
      <c r="I5" s="21" t="s">
        <v>51</v>
      </c>
      <c r="J5" s="21" t="s">
        <v>52</v>
      </c>
      <c r="K5" s="21" t="s">
        <v>53</v>
      </c>
      <c r="L5" s="21" t="s">
        <v>54</v>
      </c>
      <c r="M5" s="21" t="s">
        <v>55</v>
      </c>
    </row>
    <row r="6" spans="1:13" x14ac:dyDescent="0.25">
      <c r="A6" s="21">
        <v>7575009</v>
      </c>
      <c r="B6" s="21" t="s">
        <v>78</v>
      </c>
      <c r="C6" s="21">
        <v>1</v>
      </c>
      <c r="D6" s="21" t="s">
        <v>57</v>
      </c>
      <c r="E6" s="21" t="s">
        <v>58</v>
      </c>
      <c r="F6" s="21" t="s">
        <v>59</v>
      </c>
      <c r="G6" s="21" t="s">
        <v>60</v>
      </c>
      <c r="H6" s="21" t="s">
        <v>61</v>
      </c>
      <c r="I6" s="21" t="s">
        <v>62</v>
      </c>
      <c r="J6" s="21" t="s">
        <v>63</v>
      </c>
      <c r="K6" s="21" t="s">
        <v>64</v>
      </c>
      <c r="L6" s="21" t="s">
        <v>65</v>
      </c>
      <c r="M6" s="21" t="s">
        <v>66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0.1 Ohm</vt:lpstr>
      <vt:lpstr>1 Ohm</vt:lpstr>
      <vt:lpstr>Asset_Index</vt:lpstr>
      <vt:lpstr>df_EQ358990</vt:lpstr>
      <vt:lpstr>'1 Ohm'!df_PN010001</vt:lpstr>
      <vt:lpstr>'1 Ohm'!df_PN010022</vt:lpstr>
      <vt:lpstr>'0.1 Ohm'!df_PN010034</vt:lpstr>
      <vt:lpstr>'0.1 Ohm'!df_PN010069</vt:lpstr>
      <vt:lpstr>n_EQ358990</vt:lpstr>
      <vt:lpstr>'1 Ohm'!n_PN010001</vt:lpstr>
      <vt:lpstr>'1 Ohm'!n_PN010022</vt:lpstr>
      <vt:lpstr>'0.1 Ohm'!n_PN010034</vt:lpstr>
      <vt:lpstr>'0.1 Ohm'!n_PN010069</vt:lpstr>
      <vt:lpstr>SSx_EQ358990</vt:lpstr>
      <vt:lpstr>'1 Ohm'!SSx_PN010001</vt:lpstr>
      <vt:lpstr>'1 Ohm'!SSx_PN010022</vt:lpstr>
      <vt:lpstr>'0.1 Ohm'!SSx_PN010034</vt:lpstr>
      <vt:lpstr>'0.1 Ohm'!SSx_PN010069</vt:lpstr>
      <vt:lpstr>Syx_EQ358990</vt:lpstr>
      <vt:lpstr>'1 Ohm'!Syx_PN010001</vt:lpstr>
      <vt:lpstr>'1 Ohm'!Syx_PN010022</vt:lpstr>
      <vt:lpstr>'0.1 Ohm'!Syx_PN010034</vt:lpstr>
      <vt:lpstr>'0.1 Ohm'!Syx_PN010069</vt:lpstr>
      <vt:lpstr>XBar_EQ358990</vt:lpstr>
      <vt:lpstr>'1 Ohm'!XBar_PN010001</vt:lpstr>
      <vt:lpstr>'1 Ohm'!XBar_PN010022</vt:lpstr>
      <vt:lpstr>'0.1 Ohm'!XBar_PN010034</vt:lpstr>
      <vt:lpstr>'0.1 Ohm'!XBar_PN010069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 ZI YANG</dc:creator>
  <cp:lastModifiedBy>Zi-Yang Ang</cp:lastModifiedBy>
  <cp:revision>1</cp:revision>
  <dcterms:created xsi:type="dcterms:W3CDTF">2023-10-22T10:23:23Z</dcterms:created>
  <dcterms:modified xsi:type="dcterms:W3CDTF">2026-09-07T13:07:51Z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0x01010044B235E799D978469D5A3DE19AC51D2D</vt:lpwstr>
  </property>
</Properties>
</file>