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yanang\PycharmProjects\WelcomeScreen\"/>
    </mc:Choice>
  </mc:AlternateContent>
  <xr:revisionPtr revIDLastSave="0" documentId="13_ncr:1_{99172C99-5DA7-403E-B8E2-83C1305A4DD3}" xr6:coauthVersionLast="47" xr6:coauthVersionMax="47" xr10:uidLastSave="{00000000-0000-0000-0000-000000000000}"/>
  <bookViews>
    <workbookView xWindow="-110" yWindow="-110" windowWidth="38620" windowHeight="21100" xr2:uid="{511F2161-15DE-4620-A8AB-ED724FF9214B}"/>
  </bookViews>
  <sheets>
    <sheet name="10 Ohm" sheetId="1" r:id="rId1"/>
  </sheets>
  <definedNames>
    <definedName name="df_PN010003" localSheetId="0">'10 Ohm'!$M$3</definedName>
    <definedName name="df_PN010022" localSheetId="0">'10 Ohm'!$M$10</definedName>
    <definedName name="Known_xs_PN010001" localSheetId="0">OFFSET('10 Ohm'!$C$3,,,COUNTA('10 Ohm'!$C:$C)-3)</definedName>
    <definedName name="Known_xs_PN010002">OFFSET('10 Ohm'!$Q$3,,,COUNTA('10 Ohm'!$Q:$Q)-3)</definedName>
    <definedName name="Known_xs_PN010003">OFFSET('10 Ohm'!$C$3,,,COUNTA('10 Ohm'!$C:$C)-3)</definedName>
    <definedName name="Known_xs_PN010022" localSheetId="0">OFFSET('10 Ohm'!$Q$3,,,COUNTA('10 Ohm'!$Q:$Q)-3)</definedName>
    <definedName name="Known_ys_PN010001" localSheetId="0">OFFSET('10 Ohm'!$F$3,,,COUNTA('10 Ohm'!$F:$F)-2)</definedName>
    <definedName name="Known_ys_PN010002">OFFSET('10 Ohm'!$T$3,,,COUNTA('10 Ohm'!$T:$T)-2)</definedName>
    <definedName name="Known_ys_PN010003">OFFSET('10 Ohm'!$F$3,,,COUNTA('10 Ohm'!$F:$F)-2)</definedName>
    <definedName name="Known_ys_PN010022" localSheetId="0">OFFSET('10 Ohm'!$T$3,,,COUNTA('10 Ohm'!$T:$T)-2)</definedName>
    <definedName name="n_PN010001" localSheetId="0">'10 Ohm'!$M$2</definedName>
    <definedName name="n_PN010002" localSheetId="0">'10 Ohm'!$M$9</definedName>
    <definedName name="n_PN010003" localSheetId="0">'10 Ohm'!$M$2</definedName>
    <definedName name="n_PN010022" localSheetId="0">'10 Ohm'!$M$9</definedName>
    <definedName name="PI_L_PN010002">OFFSET('10 Ohm'!$W$3,,,COUNTA('10 Ohm'!$W:$W)-1)</definedName>
    <definedName name="PI_L_PN010003">OFFSET('10 Ohm'!$I$3,,,COUNTA('10 Ohm'!$I:$I)-1)</definedName>
    <definedName name="PI_U_PN010002">OFFSET('10 Ohm'!$X$3,,,COUNTA('10 Ohm'!$X:$X)-1)</definedName>
    <definedName name="PI_U_PN010003">OFFSET('10 Ohm'!$J$3,,,COUNTA('10 Ohm'!$J:$J)-1)</definedName>
    <definedName name="Predicted_PN010003">OFFSET('10 Ohm'!$H$3,,,COUNTA('10 Ohm'!$H:$H)-2)</definedName>
    <definedName name="Predicted_PN010022">OFFSET('10 Ohm'!$V$3,,,COUNTA('10 Ohm'!$V:$V)-2)</definedName>
    <definedName name="SSx_PN010003" localSheetId="0">'10 Ohm'!$M$6</definedName>
    <definedName name="SSx_PN010022" localSheetId="0">'10 Ohm'!$M$13</definedName>
    <definedName name="Syx_PN010003" localSheetId="0">'10 Ohm'!$M$5</definedName>
    <definedName name="Syx_PN010022" localSheetId="0">'10 Ohm'!$M$12</definedName>
    <definedName name="XBar_PN010003" localSheetId="0">'10 Ohm'!$M$4</definedName>
    <definedName name="XBar_PN010022" localSheetId="0">'10 Ohm'!$M$11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1" l="1"/>
  <c r="S13" i="1" s="1"/>
  <c r="P13" i="1"/>
  <c r="Q13" i="1" s="1"/>
  <c r="V13" i="1" s="1"/>
  <c r="D14" i="1"/>
  <c r="E14" i="1" s="1"/>
  <c r="B14" i="1"/>
  <c r="C14" i="1" s="1"/>
  <c r="H14" i="1" s="1"/>
  <c r="R12" i="1"/>
  <c r="S12" i="1" s="1"/>
  <c r="P12" i="1"/>
  <c r="Q12" i="1" s="1"/>
  <c r="D13" i="1"/>
  <c r="E13" i="1" s="1"/>
  <c r="C13" i="1"/>
  <c r="B13" i="1"/>
  <c r="S11" i="1"/>
  <c r="P11" i="1"/>
  <c r="Q11" i="1" s="1"/>
  <c r="R11" i="1"/>
  <c r="D12" i="1"/>
  <c r="E12" i="1" s="1"/>
  <c r="B12" i="1"/>
  <c r="C12" i="1" s="1"/>
  <c r="R10" i="1"/>
  <c r="S10" i="1" s="1"/>
  <c r="P10" i="1"/>
  <c r="Q10" i="1" s="1"/>
  <c r="R9" i="1"/>
  <c r="S9" i="1" s="1"/>
  <c r="P9" i="1"/>
  <c r="Q9" i="1" s="1"/>
  <c r="S8" i="1"/>
  <c r="Q8" i="1"/>
  <c r="P8" i="1"/>
  <c r="R8" i="1"/>
  <c r="C11" i="1"/>
  <c r="B11" i="1"/>
  <c r="E11" i="1"/>
  <c r="D11" i="1"/>
  <c r="E10" i="1"/>
  <c r="B10" i="1"/>
  <c r="C10" i="1" s="1"/>
  <c r="D10" i="1"/>
  <c r="H13" i="1" l="1"/>
  <c r="V12" i="1"/>
  <c r="V11" i="1"/>
  <c r="V10" i="1"/>
  <c r="H6" i="1"/>
  <c r="H12" i="1"/>
  <c r="H4" i="1"/>
  <c r="H8" i="1"/>
  <c r="H10" i="1"/>
  <c r="H3" i="1"/>
  <c r="H5" i="1"/>
  <c r="H7" i="1"/>
  <c r="H9" i="1"/>
  <c r="H11" i="1"/>
  <c r="V9" i="1"/>
  <c r="V3" i="1"/>
  <c r="V8" i="1"/>
  <c r="V4" i="1"/>
  <c r="V7" i="1"/>
  <c r="V6" i="1"/>
  <c r="V5" i="1"/>
  <c r="M4" i="1" l="1"/>
  <c r="M11" i="1"/>
  <c r="M9" i="1"/>
  <c r="M2" i="1"/>
  <c r="M10" i="1" l="1"/>
  <c r="M12" i="1"/>
  <c r="M13" i="1"/>
  <c r="M3" i="1"/>
  <c r="M5" i="1"/>
  <c r="M6" i="1"/>
  <c r="W13" i="1" l="1"/>
  <c r="X13" i="1"/>
  <c r="J14" i="1"/>
  <c r="I14" i="1"/>
  <c r="X12" i="1"/>
  <c r="W12" i="1"/>
  <c r="J13" i="1"/>
  <c r="I13" i="1"/>
  <c r="W11" i="1"/>
  <c r="X11" i="1"/>
  <c r="I12" i="1"/>
  <c r="J12" i="1"/>
  <c r="X5" i="1"/>
  <c r="W10" i="1"/>
  <c r="X10" i="1"/>
  <c r="X9" i="1"/>
  <c r="W9" i="1"/>
  <c r="X8" i="1"/>
  <c r="W8" i="1"/>
  <c r="W4" i="1"/>
  <c r="W3" i="1"/>
  <c r="W5" i="1"/>
  <c r="W6" i="1"/>
  <c r="X7" i="1"/>
  <c r="X6" i="1"/>
  <c r="W7" i="1"/>
  <c r="X4" i="1"/>
  <c r="X3" i="1"/>
  <c r="I8" i="1"/>
  <c r="I5" i="1"/>
  <c r="I4" i="1"/>
  <c r="J4" i="1"/>
  <c r="J8" i="1"/>
  <c r="I9" i="1"/>
  <c r="I6" i="1"/>
  <c r="I10" i="1"/>
  <c r="J6" i="1"/>
  <c r="J10" i="1"/>
  <c r="I7" i="1"/>
  <c r="I11" i="1"/>
  <c r="J7" i="1"/>
  <c r="J11" i="1"/>
  <c r="J9" i="1"/>
  <c r="J5" i="1"/>
  <c r="J3" i="1"/>
  <c r="I3" i="1"/>
  <c r="D3" i="1"/>
  <c r="R3" i="1"/>
  <c r="B4" i="1"/>
  <c r="C4" i="1" s="1"/>
  <c r="D4" i="1"/>
  <c r="P4" i="1"/>
  <c r="Q4" i="1" s="1"/>
  <c r="R4" i="1"/>
  <c r="B5" i="1"/>
  <c r="D5" i="1"/>
  <c r="P5" i="1"/>
  <c r="R5" i="1"/>
  <c r="B6" i="1"/>
  <c r="D6" i="1"/>
  <c r="P6" i="1"/>
  <c r="R6" i="1"/>
  <c r="B7" i="1"/>
  <c r="D7" i="1"/>
  <c r="P7" i="1"/>
  <c r="R7" i="1"/>
  <c r="B8" i="1"/>
  <c r="D8" i="1"/>
  <c r="B9" i="1"/>
  <c r="D9" i="1"/>
  <c r="E5" i="1" l="1"/>
  <c r="S6" i="1"/>
  <c r="S4" i="1"/>
  <c r="E9" i="1"/>
  <c r="S7" i="1"/>
  <c r="C6" i="1"/>
  <c r="Q6" i="1"/>
  <c r="E8" i="1"/>
  <c r="E4" i="1"/>
  <c r="C5" i="1"/>
  <c r="Q7" i="1"/>
  <c r="Q5" i="1"/>
  <c r="S5" i="1"/>
  <c r="E6" i="1"/>
  <c r="C8" i="1"/>
  <c r="C9" i="1"/>
  <c r="C7" i="1"/>
  <c r="E7" i="1"/>
</calcChain>
</file>

<file path=xl/sharedStrings.xml><?xml version="1.0" encoding="utf-8"?>
<sst xmlns="http://schemas.openxmlformats.org/spreadsheetml/2006/main" count="38" uniqueCount="21">
  <si>
    <t>742A-10</t>
  </si>
  <si>
    <t>PN010003</t>
  </si>
  <si>
    <t>Prediction Interval (95%)</t>
  </si>
  <si>
    <r>
      <rPr>
        <b/>
        <sz val="9"/>
        <color rgb="FFC00000"/>
        <rFont val="Calibri"/>
        <family val="2"/>
      </rPr>
      <t xml:space="preserve">← </t>
    </r>
    <r>
      <rPr>
        <b/>
        <sz val="9"/>
        <color theme="1"/>
        <rFont val="Arial"/>
        <family val="2"/>
      </rPr>
      <t>PN010003</t>
    </r>
  </si>
  <si>
    <t>PN010002</t>
  </si>
  <si>
    <t>Date</t>
  </si>
  <si>
    <r>
      <t>Since Last Cal</t>
    </r>
    <r>
      <rPr>
        <b/>
        <sz val="8"/>
        <color theme="0" tint="-4.9989318521683403E-2"/>
        <rFont val="Arial"/>
        <family val="2"/>
      </rPr>
      <t xml:space="preserve"> [Days]</t>
    </r>
  </si>
  <si>
    <r>
      <t>Accumulated</t>
    </r>
    <r>
      <rPr>
        <b/>
        <sz val="8"/>
        <color theme="0" tint="-4.9989318521683403E-2"/>
        <rFont val="Arial"/>
        <family val="2"/>
      </rPr>
      <t xml:space="preserve"> [Days]</t>
    </r>
  </si>
  <si>
    <r>
      <t>Error</t>
    </r>
    <r>
      <rPr>
        <b/>
        <sz val="8"/>
        <color theme="0" tint="-4.9989318521683403E-2"/>
        <rFont val="Arial"/>
        <family val="2"/>
      </rPr>
      <t xml:space="preserve"> [PPM]</t>
    </r>
  </si>
  <si>
    <r>
      <t>Drifted</t>
    </r>
    <r>
      <rPr>
        <b/>
        <sz val="8"/>
        <color theme="0" tint="-4.9989318521683403E-2"/>
        <rFont val="Arial"/>
        <family val="2"/>
      </rPr>
      <t xml:space="preserve"> [PPM]</t>
    </r>
  </si>
  <si>
    <r>
      <t>MU</t>
    </r>
    <r>
      <rPr>
        <b/>
        <sz val="8"/>
        <color theme="0" tint="-4.9989318521683403E-2"/>
        <rFont val="Arial"/>
        <family val="2"/>
      </rPr>
      <t xml:space="preserve"> (K =2)</t>
    </r>
  </si>
  <si>
    <t>Prediction</t>
  </si>
  <si>
    <t>Lower</t>
  </si>
  <si>
    <t>Upper</t>
  </si>
  <si>
    <t>n</t>
  </si>
  <si>
    <t>df</t>
  </si>
  <si>
    <t>Mean of X</t>
  </si>
  <si>
    <t>Syx</t>
  </si>
  <si>
    <t>SSx</t>
  </si>
  <si>
    <r>
      <t xml:space="preserve">PN010002 </t>
    </r>
    <r>
      <rPr>
        <b/>
        <sz val="9"/>
        <color rgb="FFC00000"/>
        <rFont val="Calibri"/>
        <family val="2"/>
      </rPr>
      <t>→</t>
    </r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</si>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</sst>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"/>
    <numFmt numFmtId="166" formatCode="0.0000000"/>
  </numFmts>
  <fonts count="8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0" tint="-4.9989318521683403E-2"/>
      <name val="Arial"/>
      <family val="2"/>
    </font>
    <font>
      <b/>
      <sz val="8"/>
      <color theme="0" tint="-4.9989318521683403E-2"/>
      <name val="Arial"/>
      <family val="2"/>
    </font>
    <font>
      <b/>
      <sz val="9"/>
      <color theme="1"/>
      <name val="Arial"/>
      <family val="2"/>
    </font>
    <font>
      <b/>
      <sz val="9"/>
      <color rgb="FFC00000"/>
      <name val="Calibri"/>
      <family val="2"/>
    </font>
    <font>
      <sz val="9"/>
      <color theme="1"/>
      <name val="Cambria"/>
      <family val="1"/>
    </font>
    <font>
      <b/>
      <sz val="9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1" fontId="6" fillId="0" borderId="1" xfId="0" applyNumberFormat="1" applyFont="1" applyBorder="1" applyAlignment="1">
      <alignment horizontal="center" vertical="center"/>
    </xf>
    <xf numFmtId="0" fontId="0" fillId="4" borderId="0" xfId="0" applyFill="1"/>
    <xf numFmtId="0" fontId="2" fillId="7" borderId="1" xfId="0" applyFont="1" applyFill="1" applyBorder="1" applyAlignment="1">
      <alignment horizontal="center" vertical="center"/>
    </xf>
    <xf numFmtId="166" fontId="1" fillId="8" borderId="0" xfId="0" applyNumberFormat="1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PN010003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 Ohm'!$F$2</c:f>
              <c:strCache>
                <c:ptCount val="1"/>
                <c:pt idx="0">
                  <c:v>Measured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'10 Ohm'!$C$3:$C$14</c:f>
              <c:numCache>
                <c:formatCode>0</c:formatCode>
                <c:ptCount val="12"/>
                <c:pt idx="0">
                  <c:v>0</c:v>
                </c:pt>
                <c:pt idx="1">
                  <c:v>31</c:v>
                </c:pt>
                <c:pt idx="2">
                  <c:v>42</c:v>
                </c:pt>
                <c:pt idx="3">
                  <c:v>259</c:v>
                </c:pt>
                <c:pt idx="4">
                  <c:v>611</c:v>
                </c:pt>
                <c:pt idx="5">
                  <c:v>839</c:v>
                </c:pt>
                <c:pt idx="6">
                  <c:v>1050</c:v>
                </c:pt>
                <c:pt idx="7">
                  <c:v>1257</c:v>
                </c:pt>
                <c:pt idx="8">
                  <c:v>1497</c:v>
                </c:pt>
                <c:pt idx="9">
                  <c:v>1808</c:v>
                </c:pt>
                <c:pt idx="10">
                  <c:v>2015</c:v>
                </c:pt>
                <c:pt idx="11">
                  <c:v>2297</c:v>
                </c:pt>
              </c:numCache>
            </c:numRef>
          </c:xVal>
          <c:yVal>
            <c:numRef>
              <c:f>'10 Ohm'!$F$3:$F$14</c:f>
              <c:numCache>
                <c:formatCode>0.0000000</c:formatCode>
                <c:ptCount val="12"/>
                <c:pt idx="0">
                  <c:v>9.9998517000000007</c:v>
                </c:pt>
                <c:pt idx="1">
                  <c:v>9.9998515999999995</c:v>
                </c:pt>
                <c:pt idx="2">
                  <c:v>9.9998515000000001</c:v>
                </c:pt>
                <c:pt idx="3">
                  <c:v>9.9998494000000004</c:v>
                </c:pt>
                <c:pt idx="4">
                  <c:v>9.9998462000000004</c:v>
                </c:pt>
                <c:pt idx="5">
                  <c:v>9.9998453000000005</c:v>
                </c:pt>
                <c:pt idx="6">
                  <c:v>9.9998398999999996</c:v>
                </c:pt>
                <c:pt idx="7">
                  <c:v>9.9998386999999997</c:v>
                </c:pt>
                <c:pt idx="8">
                  <c:v>9.9998351999999997</c:v>
                </c:pt>
                <c:pt idx="9">
                  <c:v>9.9998339000000005</c:v>
                </c:pt>
                <c:pt idx="10">
                  <c:v>9.9998310999999998</c:v>
                </c:pt>
                <c:pt idx="11">
                  <c:v>9.9998284999999996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97-474F-B35A-EE3B4FE33945}"/>
            </c:ext>
          </c:extLst>
        </c:ser>
        <c:ser>
          <c:idx val="1"/>
          <c:order val="1"/>
          <c:spPr>
            <a:ln w="15875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 Ohm'!$C$3:$C$14</c:f>
              <c:numCache>
                <c:formatCode>0</c:formatCode>
                <c:ptCount val="12"/>
                <c:pt idx="0">
                  <c:v>0</c:v>
                </c:pt>
                <c:pt idx="1">
                  <c:v>31</c:v>
                </c:pt>
                <c:pt idx="2">
                  <c:v>42</c:v>
                </c:pt>
                <c:pt idx="3">
                  <c:v>259</c:v>
                </c:pt>
                <c:pt idx="4">
                  <c:v>611</c:v>
                </c:pt>
                <c:pt idx="5">
                  <c:v>839</c:v>
                </c:pt>
                <c:pt idx="6">
                  <c:v>1050</c:v>
                </c:pt>
                <c:pt idx="7">
                  <c:v>1257</c:v>
                </c:pt>
                <c:pt idx="8">
                  <c:v>1497</c:v>
                </c:pt>
                <c:pt idx="9">
                  <c:v>1808</c:v>
                </c:pt>
                <c:pt idx="10">
                  <c:v>2015</c:v>
                </c:pt>
                <c:pt idx="11">
                  <c:v>2297</c:v>
                </c:pt>
              </c:numCache>
            </c:numRef>
          </c:xVal>
          <c:yVal>
            <c:numRef>
              <c:f>'10 Ohm'!$H$3:$H$14</c:f>
              <c:numCache>
                <c:formatCode>0.0000000</c:formatCode>
                <c:ptCount val="12"/>
                <c:pt idx="0">
                  <c:v>9.999852068672066</c:v>
                </c:pt>
                <c:pt idx="1">
                  <c:v>9.9998517449482716</c:v>
                </c:pt>
                <c:pt idx="2">
                  <c:v>9.9998516300785383</c:v>
                </c:pt>
                <c:pt idx="3">
                  <c:v>9.9998493640119825</c:v>
                </c:pt>
                <c:pt idx="4">
                  <c:v>9.9998456881805193</c:v>
                </c:pt>
                <c:pt idx="5">
                  <c:v>9.9998433072442303</c:v>
                </c:pt>
                <c:pt idx="6">
                  <c:v>9.9998411038338908</c:v>
                </c:pt>
                <c:pt idx="7">
                  <c:v>9.9998389421943656</c:v>
                </c:pt>
                <c:pt idx="8">
                  <c:v>9.9998364359456406</c:v>
                </c:pt>
                <c:pt idx="9">
                  <c:v>9.9998331882650007</c:v>
                </c:pt>
                <c:pt idx="10">
                  <c:v>9.9998310266254737</c:v>
                </c:pt>
                <c:pt idx="11">
                  <c:v>9.999828081783221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97-474F-B35A-EE3B4FE33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 Ohm'!$C$3:$C$14</c:f>
              <c:numCache>
                <c:formatCode>0</c:formatCode>
                <c:ptCount val="12"/>
                <c:pt idx="0">
                  <c:v>0</c:v>
                </c:pt>
                <c:pt idx="1">
                  <c:v>31</c:v>
                </c:pt>
                <c:pt idx="2">
                  <c:v>42</c:v>
                </c:pt>
                <c:pt idx="3">
                  <c:v>259</c:v>
                </c:pt>
                <c:pt idx="4">
                  <c:v>611</c:v>
                </c:pt>
                <c:pt idx="5">
                  <c:v>839</c:v>
                </c:pt>
                <c:pt idx="6">
                  <c:v>1050</c:v>
                </c:pt>
                <c:pt idx="7">
                  <c:v>1257</c:v>
                </c:pt>
                <c:pt idx="8">
                  <c:v>1497</c:v>
                </c:pt>
                <c:pt idx="9">
                  <c:v>1808</c:v>
                </c:pt>
                <c:pt idx="10">
                  <c:v>2015</c:v>
                </c:pt>
                <c:pt idx="11">
                  <c:v>2297</c:v>
                </c:pt>
              </c:numCache>
            </c:numRef>
          </c:xVal>
          <c:yVal>
            <c:numRef>
              <c:f>'10 Ohm'!$I$3:$I$14</c:f>
              <c:numCache>
                <c:formatCode>0.0000000</c:formatCode>
                <c:ptCount val="12"/>
                <c:pt idx="0">
                  <c:v>9.9998497121584755</c:v>
                </c:pt>
                <c:pt idx="1">
                  <c:v>9.9998493977920937</c:v>
                </c:pt>
                <c:pt idx="2">
                  <c:v>9.9998492861684092</c:v>
                </c:pt>
                <c:pt idx="3">
                  <c:v>9.9998470759255778</c:v>
                </c:pt>
                <c:pt idx="4">
                  <c:v>9.9998434554253954</c:v>
                </c:pt>
                <c:pt idx="5">
                  <c:v>9.9998410857699316</c:v>
                </c:pt>
                <c:pt idx="6">
                  <c:v>9.9998388752147864</c:v>
                </c:pt>
                <c:pt idx="7">
                  <c:v>9.9998366902901274</c:v>
                </c:pt>
                <c:pt idx="8">
                  <c:v>9.9998341375300068</c:v>
                </c:pt>
                <c:pt idx="9">
                  <c:v>9.999830800418259</c:v>
                </c:pt>
                <c:pt idx="10">
                  <c:v>9.999828562605277</c:v>
                </c:pt>
                <c:pt idx="11">
                  <c:v>9.9998254950002341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97-474F-B35A-EE3B4FE33945}"/>
            </c:ext>
          </c:extLst>
        </c:ser>
        <c:ser>
          <c:idx val="3"/>
          <c:order val="3"/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 Ohm'!$C$3:$C$14</c:f>
              <c:numCache>
                <c:formatCode>0</c:formatCode>
                <c:ptCount val="12"/>
                <c:pt idx="0">
                  <c:v>0</c:v>
                </c:pt>
                <c:pt idx="1">
                  <c:v>31</c:v>
                </c:pt>
                <c:pt idx="2">
                  <c:v>42</c:v>
                </c:pt>
                <c:pt idx="3">
                  <c:v>259</c:v>
                </c:pt>
                <c:pt idx="4">
                  <c:v>611</c:v>
                </c:pt>
                <c:pt idx="5">
                  <c:v>839</c:v>
                </c:pt>
                <c:pt idx="6">
                  <c:v>1050</c:v>
                </c:pt>
                <c:pt idx="7">
                  <c:v>1257</c:v>
                </c:pt>
                <c:pt idx="8">
                  <c:v>1497</c:v>
                </c:pt>
                <c:pt idx="9">
                  <c:v>1808</c:v>
                </c:pt>
                <c:pt idx="10">
                  <c:v>2015</c:v>
                </c:pt>
                <c:pt idx="11">
                  <c:v>2297</c:v>
                </c:pt>
              </c:numCache>
            </c:numRef>
          </c:xVal>
          <c:yVal>
            <c:numRef>
              <c:f>'10 Ohm'!$J$3:$J$14</c:f>
              <c:numCache>
                <c:formatCode>0.0000000</c:formatCode>
                <c:ptCount val="12"/>
                <c:pt idx="0">
                  <c:v>9.9998544251856565</c:v>
                </c:pt>
                <c:pt idx="1">
                  <c:v>9.9998540921044494</c:v>
                </c:pt>
                <c:pt idx="2">
                  <c:v>9.9998539739886674</c:v>
                </c:pt>
                <c:pt idx="3">
                  <c:v>9.9998516520983873</c:v>
                </c:pt>
                <c:pt idx="4">
                  <c:v>9.9998479209356432</c:v>
                </c:pt>
                <c:pt idx="5">
                  <c:v>9.9998455287185291</c:v>
                </c:pt>
                <c:pt idx="6">
                  <c:v>9.9998433324529952</c:v>
                </c:pt>
                <c:pt idx="7">
                  <c:v>9.9998411940986038</c:v>
                </c:pt>
                <c:pt idx="8">
                  <c:v>9.9998387343612745</c:v>
                </c:pt>
                <c:pt idx="9">
                  <c:v>9.9998355761117423</c:v>
                </c:pt>
                <c:pt idx="10">
                  <c:v>9.9998334906456705</c:v>
                </c:pt>
                <c:pt idx="11">
                  <c:v>9.9998306685662079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D97-474F-B35A-EE3B4FE33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473724799425115"/>
          <c:y val="0.82849799161845106"/>
          <c:w val="0.73625727919235473"/>
          <c:h val="0.14848175055466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PN010002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 Ohm'!$T$2</c:f>
              <c:strCache>
                <c:ptCount val="1"/>
                <c:pt idx="0">
                  <c:v>Measured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'10 Ohm'!$Q$3:$Q$13</c:f>
              <c:numCache>
                <c:formatCode>0</c:formatCode>
                <c:ptCount val="11"/>
                <c:pt idx="0">
                  <c:v>0</c:v>
                </c:pt>
                <c:pt idx="1">
                  <c:v>144</c:v>
                </c:pt>
                <c:pt idx="2">
                  <c:v>489</c:v>
                </c:pt>
                <c:pt idx="3">
                  <c:v>740</c:v>
                </c:pt>
                <c:pt idx="4">
                  <c:v>971</c:v>
                </c:pt>
                <c:pt idx="5">
                  <c:v>1179</c:v>
                </c:pt>
                <c:pt idx="6">
                  <c:v>1411</c:v>
                </c:pt>
                <c:pt idx="7">
                  <c:v>1627</c:v>
                </c:pt>
                <c:pt idx="8">
                  <c:v>1886</c:v>
                </c:pt>
                <c:pt idx="9">
                  <c:v>2159</c:v>
                </c:pt>
                <c:pt idx="10">
                  <c:v>2454</c:v>
                </c:pt>
              </c:numCache>
            </c:numRef>
          </c:xVal>
          <c:yVal>
            <c:numRef>
              <c:f>'10 Ohm'!$T$3:$T$13</c:f>
              <c:numCache>
                <c:formatCode>0.0000000</c:formatCode>
                <c:ptCount val="11"/>
                <c:pt idx="0">
                  <c:v>9.9999348000000001</c:v>
                </c:pt>
                <c:pt idx="1">
                  <c:v>9.9999377000000003</c:v>
                </c:pt>
                <c:pt idx="2">
                  <c:v>9.9999383000000002</c:v>
                </c:pt>
                <c:pt idx="3">
                  <c:v>9.9999348999999995</c:v>
                </c:pt>
                <c:pt idx="4">
                  <c:v>9.9999359999999999</c:v>
                </c:pt>
                <c:pt idx="5">
                  <c:v>9.9999365999999998</c:v>
                </c:pt>
                <c:pt idx="6">
                  <c:v>9.9999377000000003</c:v>
                </c:pt>
                <c:pt idx="7">
                  <c:v>9.9999383000000002</c:v>
                </c:pt>
                <c:pt idx="8">
                  <c:v>9.9999391000000006</c:v>
                </c:pt>
                <c:pt idx="9">
                  <c:v>9.9999382000000008</c:v>
                </c:pt>
                <c:pt idx="10">
                  <c:v>9.9999404999999992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AC-4EF4-B238-240D8B0908EA}"/>
            </c:ext>
          </c:extLst>
        </c:ser>
        <c:ser>
          <c:idx val="1"/>
          <c:order val="1"/>
          <c:tx>
            <c:strRef>
              <c:f>'10 Ohm'!$V$2</c:f>
              <c:strCache>
                <c:ptCount val="1"/>
                <c:pt idx="0">
                  <c:v>Prediction</c:v>
                </c:pt>
              </c:strCache>
            </c:strRef>
          </c:tx>
          <c:spPr>
            <a:ln w="15875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 Ohm'!$Q$3:$Q$13</c:f>
              <c:numCache>
                <c:formatCode>0</c:formatCode>
                <c:ptCount val="11"/>
                <c:pt idx="0">
                  <c:v>0</c:v>
                </c:pt>
                <c:pt idx="1">
                  <c:v>144</c:v>
                </c:pt>
                <c:pt idx="2">
                  <c:v>489</c:v>
                </c:pt>
                <c:pt idx="3">
                  <c:v>740</c:v>
                </c:pt>
                <c:pt idx="4">
                  <c:v>971</c:v>
                </c:pt>
                <c:pt idx="5">
                  <c:v>1179</c:v>
                </c:pt>
                <c:pt idx="6">
                  <c:v>1411</c:v>
                </c:pt>
                <c:pt idx="7">
                  <c:v>1627</c:v>
                </c:pt>
                <c:pt idx="8">
                  <c:v>1886</c:v>
                </c:pt>
                <c:pt idx="9">
                  <c:v>2159</c:v>
                </c:pt>
                <c:pt idx="10">
                  <c:v>2454</c:v>
                </c:pt>
              </c:numCache>
            </c:numRef>
          </c:xVal>
          <c:yVal>
            <c:numRef>
              <c:f>'10 Ohm'!$V$3:$V$13</c:f>
              <c:numCache>
                <c:formatCode>0.0000000</c:formatCode>
                <c:ptCount val="11"/>
                <c:pt idx="0">
                  <c:v>9.9999358873673145</c:v>
                </c:pt>
                <c:pt idx="1">
                  <c:v>9.9999360601554592</c:v>
                </c:pt>
                <c:pt idx="2">
                  <c:v>9.9999364741270576</c:v>
                </c:pt>
                <c:pt idx="3">
                  <c:v>9.9999367753063932</c:v>
                </c:pt>
                <c:pt idx="4">
                  <c:v>9.9999370524873754</c:v>
                </c:pt>
                <c:pt idx="5">
                  <c:v>9.9999373020702524</c:v>
                </c:pt>
                <c:pt idx="6">
                  <c:v>9.999937580451153</c:v>
                </c:pt>
                <c:pt idx="7">
                  <c:v>9.99993783963337</c:v>
                </c:pt>
                <c:pt idx="8">
                  <c:v>9.9999381504120475</c:v>
                </c:pt>
                <c:pt idx="9">
                  <c:v>9.9999384779895735</c:v>
                </c:pt>
                <c:pt idx="10">
                  <c:v>9.9999388319652862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AC-4EF4-B238-240D8B090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 Ohm'!$Q$3:$Q$13</c:f>
              <c:numCache>
                <c:formatCode>0</c:formatCode>
                <c:ptCount val="11"/>
                <c:pt idx="0">
                  <c:v>0</c:v>
                </c:pt>
                <c:pt idx="1">
                  <c:v>144</c:v>
                </c:pt>
                <c:pt idx="2">
                  <c:v>489</c:v>
                </c:pt>
                <c:pt idx="3">
                  <c:v>740</c:v>
                </c:pt>
                <c:pt idx="4">
                  <c:v>971</c:v>
                </c:pt>
                <c:pt idx="5">
                  <c:v>1179</c:v>
                </c:pt>
                <c:pt idx="6">
                  <c:v>1411</c:v>
                </c:pt>
                <c:pt idx="7">
                  <c:v>1627</c:v>
                </c:pt>
                <c:pt idx="8">
                  <c:v>1886</c:v>
                </c:pt>
                <c:pt idx="9">
                  <c:v>2159</c:v>
                </c:pt>
                <c:pt idx="10">
                  <c:v>2454</c:v>
                </c:pt>
              </c:numCache>
            </c:numRef>
          </c:xVal>
          <c:yVal>
            <c:numRef>
              <c:f>'10 Ohm'!$W$3:$W$13</c:f>
              <c:numCache>
                <c:formatCode>0.0000000</c:formatCode>
                <c:ptCount val="11"/>
                <c:pt idx="0">
                  <c:v>9.9999324201372506</c:v>
                </c:pt>
                <c:pt idx="1">
                  <c:v>9.999932671577362</c:v>
                </c:pt>
                <c:pt idx="2">
                  <c:v>9.9999332322013075</c:v>
                </c:pt>
                <c:pt idx="3">
                  <c:v>9.9999335994663028</c:v>
                </c:pt>
                <c:pt idx="4">
                  <c:v>9.9999339050277172</c:v>
                </c:pt>
                <c:pt idx="5">
                  <c:v>9.9999341528088355</c:v>
                </c:pt>
                <c:pt idx="6">
                  <c:v>9.9999343986544655</c:v>
                </c:pt>
                <c:pt idx="7">
                  <c:v>9.9999345994365747</c:v>
                </c:pt>
                <c:pt idx="8">
                  <c:v>9.9999348065253599</c:v>
                </c:pt>
                <c:pt idx="9">
                  <c:v>9.9999349885418809</c:v>
                </c:pt>
                <c:pt idx="10">
                  <c:v>9.9999351484331438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AC-4EF4-B238-240D8B0908EA}"/>
            </c:ext>
          </c:extLst>
        </c:ser>
        <c:ser>
          <c:idx val="3"/>
          <c:order val="3"/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 Ohm'!$Q$3:$Q$13</c:f>
              <c:numCache>
                <c:formatCode>0</c:formatCode>
                <c:ptCount val="11"/>
                <c:pt idx="0">
                  <c:v>0</c:v>
                </c:pt>
                <c:pt idx="1">
                  <c:v>144</c:v>
                </c:pt>
                <c:pt idx="2">
                  <c:v>489</c:v>
                </c:pt>
                <c:pt idx="3">
                  <c:v>740</c:v>
                </c:pt>
                <c:pt idx="4">
                  <c:v>971</c:v>
                </c:pt>
                <c:pt idx="5">
                  <c:v>1179</c:v>
                </c:pt>
                <c:pt idx="6">
                  <c:v>1411</c:v>
                </c:pt>
                <c:pt idx="7">
                  <c:v>1627</c:v>
                </c:pt>
                <c:pt idx="8">
                  <c:v>1886</c:v>
                </c:pt>
                <c:pt idx="9">
                  <c:v>2159</c:v>
                </c:pt>
                <c:pt idx="10">
                  <c:v>2454</c:v>
                </c:pt>
              </c:numCache>
            </c:numRef>
          </c:xVal>
          <c:yVal>
            <c:numRef>
              <c:f>'10 Ohm'!$X$3:$X$13</c:f>
              <c:numCache>
                <c:formatCode>0.0000000</c:formatCode>
                <c:ptCount val="11"/>
                <c:pt idx="0">
                  <c:v>9.9999393545973785</c:v>
                </c:pt>
                <c:pt idx="1">
                  <c:v>9.9999394487335564</c:v>
                </c:pt>
                <c:pt idx="2">
                  <c:v>9.9999397160528076</c:v>
                </c:pt>
                <c:pt idx="3">
                  <c:v>9.9999399511464837</c:v>
                </c:pt>
                <c:pt idx="4">
                  <c:v>9.9999401999470336</c:v>
                </c:pt>
                <c:pt idx="5">
                  <c:v>9.9999404513316694</c:v>
                </c:pt>
                <c:pt idx="6">
                  <c:v>9.9999407622478405</c:v>
                </c:pt>
                <c:pt idx="7">
                  <c:v>9.9999410798301653</c:v>
                </c:pt>
                <c:pt idx="8">
                  <c:v>9.999941494298735</c:v>
                </c:pt>
                <c:pt idx="9">
                  <c:v>9.999941967437266</c:v>
                </c:pt>
                <c:pt idx="10">
                  <c:v>9.9999425154974286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AC-4EF4-B238-240D8B090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762000</xdr:colOff>
      <xdr:row>16</xdr:row>
      <xdr:rowOff>143827</xdr:rowOff>
    </xdr:from>
    <xdr:to>
      <xdr:col>9</xdr:col>
      <xdr:colOff>38100</xdr:colOff>
      <xdr:row>37</xdr:row>
      <xdr:rowOff>143827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338588-E691-428C-8257-C368C818E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5716</xdr:colOff>
      <xdr:row>15</xdr:row>
      <xdr:rowOff>85724</xdr:rowOff>
    </xdr:from>
    <xdr:to>
      <xdr:col>22</xdr:col>
      <xdr:colOff>121478</xdr:colOff>
      <xdr:row>38</xdr:row>
      <xdr:rowOff>5521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F48BED-F97D-4F34-AB4E-5A0E4AE86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2641-F789-4874-B106-943843CC4C68}">
  <sheetPr>
    <tabColor theme="9" tint="0.39997558519241921"/>
  </sheetPr>
  <dimension ref="A1:X27"/>
  <sheetViews>
    <sheetView tabSelected="1" topLeftCell="D1" zoomScale="115" zoomScaleNormal="115" workbookViewId="0">
      <selection activeCell="F2" sqref="F2"/>
    </sheetView>
  </sheetViews>
  <sheetFormatPr defaultColWidth="8.81640625" defaultRowHeight="11.5" x14ac:dyDescent="0.35"/>
  <cols>
    <col min="1" max="1" width="9.26953125" style="1" bestFit="1" customWidth="1"/>
    <col min="2" max="2" width="18.1796875" style="1" bestFit="1" customWidth="1"/>
    <col min="3" max="3" width="17.26953125" style="1" bestFit="1" customWidth="1"/>
    <col min="4" max="4" width="10.1796875" style="1" bestFit="1" customWidth="1"/>
    <col min="5" max="5" width="11.453125" style="1" bestFit="1" customWidth="1"/>
    <col min="6" max="6" width="11" style="1" bestFit="1" customWidth="1"/>
    <col min="7" max="7" width="8.26953125" style="1" bestFit="1" customWidth="1"/>
    <col min="8" max="10" width="10.453125" style="1" bestFit="1" customWidth="1"/>
    <col min="11" max="11" width="1" style="1" customWidth="1"/>
    <col min="12" max="12" width="8.453125" style="1" bestFit="1" customWidth="1"/>
    <col min="13" max="13" width="12" style="1" bestFit="1" customWidth="1"/>
    <col min="14" max="14" width="1" style="1" customWidth="1"/>
    <col min="15" max="15" width="9.26953125" style="1" bestFit="1" customWidth="1"/>
    <col min="16" max="16" width="18.1796875" style="1" bestFit="1" customWidth="1"/>
    <col min="17" max="17" width="17.26953125" style="1" bestFit="1" customWidth="1"/>
    <col min="18" max="18" width="10.1796875" style="1" bestFit="1" customWidth="1"/>
    <col min="19" max="19" width="11.453125" style="1" bestFit="1" customWidth="1"/>
    <col min="20" max="20" width="10.453125" style="1" bestFit="1" customWidth="1"/>
    <col min="21" max="21" width="8.26953125" style="1" bestFit="1" customWidth="1"/>
    <col min="22" max="24" width="10.453125" style="1" bestFit="1" customWidth="1"/>
    <col min="25" max="16384" width="8.81640625" style="1"/>
  </cols>
  <sheetData>
    <row r="1" spans="1:24" ht="12" x14ac:dyDescent="0.35">
      <c r="A1" s="11"/>
      <c r="B1" s="9" t="s">
        <v>0</v>
      </c>
      <c r="C1" s="12" t="s">
        <v>1</v>
      </c>
      <c r="D1" s="12">
        <v>7651002</v>
      </c>
      <c r="E1" s="11"/>
      <c r="F1" s="11"/>
      <c r="G1" s="11"/>
      <c r="H1" s="21" t="s">
        <v>2</v>
      </c>
      <c r="I1" s="21"/>
      <c r="J1" s="21"/>
      <c r="K1" s="13"/>
      <c r="L1" s="20" t="s">
        <v>3</v>
      </c>
      <c r="M1" s="20"/>
      <c r="N1" s="13"/>
      <c r="O1" s="11"/>
      <c r="P1" s="9" t="s">
        <v>0</v>
      </c>
      <c r="Q1" s="12" t="s">
        <v>4</v>
      </c>
      <c r="R1" s="12">
        <v>7475004</v>
      </c>
      <c r="S1" s="11"/>
      <c r="T1" s="11"/>
      <c r="U1" s="11"/>
      <c r="V1" s="21" t="s">
        <v>2</v>
      </c>
      <c r="W1" s="21"/>
      <c r="X1" s="21"/>
    </row>
    <row r="2" spans="1:24" ht="13.15" customHeight="1" x14ac:dyDescent="0.35">
      <c r="A2" s="9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10" t="s">
        <v>20</v>
      </c>
      <c r="G2" s="9" t="s">
        <v>10</v>
      </c>
      <c r="H2" s="18" t="s">
        <v>11</v>
      </c>
      <c r="I2" s="18" t="s">
        <v>12</v>
      </c>
      <c r="J2" s="18" t="s">
        <v>13</v>
      </c>
      <c r="K2" s="13"/>
      <c r="L2" s="14" t="s">
        <v>14</v>
      </c>
      <c r="M2" s="15">
        <f>COUNTA($F:$F)-2</f>
        <v>11</v>
      </c>
      <c r="N2" s="13"/>
      <c r="O2" s="9" t="s">
        <v>5</v>
      </c>
      <c r="P2" s="9" t="s">
        <v>6</v>
      </c>
      <c r="Q2" s="9" t="s">
        <v>7</v>
      </c>
      <c r="R2" s="9" t="s">
        <v>8</v>
      </c>
      <c r="S2" s="9" t="s">
        <v>9</v>
      </c>
      <c r="T2" s="10" t="s">
        <v>20</v>
      </c>
      <c r="U2" s="9" t="s">
        <v>10</v>
      </c>
      <c r="V2" s="18" t="s">
        <v>11</v>
      </c>
      <c r="W2" s="18" t="s">
        <v>12</v>
      </c>
      <c r="X2" s="18" t="s">
        <v>13</v>
      </c>
    </row>
    <row r="3" spans="1:24" x14ac:dyDescent="0.35">
      <c r="A3" s="7">
        <v>43711</v>
      </c>
      <c r="B3" s="2">
        <v>0</v>
      </c>
      <c r="C3" s="2">
        <v>0</v>
      </c>
      <c r="D3" s="6">
        <f t="shared" ref="D3:D11" si="0">(F3-10)/10*1000000</f>
        <v>-14.829999999932397</v>
      </c>
      <c r="E3" s="6"/>
      <c r="F3" s="8">
        <v>9.9998517000000007</v>
      </c>
      <c r="G3" s="4">
        <v>3.1999999999999999E-6</v>
      </c>
      <c r="H3" s="19">
        <f t="shared" ref="H3:H14" ca="1" si="1">_xlfn.FORECAST.LINEAR($C3,Known_ys_PN010003,Known_xs_PN010003)</f>
        <v>9.999852068672066</v>
      </c>
      <c r="I3" s="19">
        <f t="shared" ref="I3:I14" ca="1" si="2">$H3-ABS(_xlfn.T.INV(0.025,df_PN010003))*(Syx_PN010003*SQRT(1+1/n_PN010003+($C3-XBar_PN010003)^2/SSx_PN010003))</f>
        <v>9.9998497121584755</v>
      </c>
      <c r="J3" s="19">
        <f t="shared" ref="J3:J14" ca="1" si="3">$H3+ABS(_xlfn.T.INV(0.025,df_PN010003))*(Syx_PN010003*SQRT(1+1/n_PN010003+($C3-XBar_PN010003)^2/SSx_PN010003))</f>
        <v>9.9998544251856565</v>
      </c>
      <c r="K3" s="13"/>
      <c r="L3" s="14" t="s">
        <v>15</v>
      </c>
      <c r="M3" s="15">
        <f>n_PN010003-2</f>
        <v>9</v>
      </c>
      <c r="N3" s="13"/>
      <c r="O3" s="7">
        <v>43686</v>
      </c>
      <c r="P3" s="2">
        <v>0</v>
      </c>
      <c r="Q3" s="2">
        <v>0</v>
      </c>
      <c r="R3" s="6">
        <f t="shared" ref="R3:R9" si="4">(T3-10)/10*1000000</f>
        <v>-6.5199999999876468</v>
      </c>
      <c r="S3" s="6"/>
      <c r="T3" s="8">
        <v>9.9999348000000001</v>
      </c>
      <c r="U3" s="4">
        <v>3.1999999999999999E-6</v>
      </c>
      <c r="V3" s="19">
        <f t="shared" ref="V3:V13" ca="1" si="5">_xlfn.FORECAST.LINEAR($Q3,Known_ys_PN010022,Known_xs_PN010022)</f>
        <v>9.9999358873673145</v>
      </c>
      <c r="W3" s="19">
        <f t="shared" ref="W3:W13" ca="1" si="6">$V3-ABS(_xlfn.T.INV(0.025,df_PN010022))*(Syx_PN010022*SQRT(1+1/n_PN010022+($Q3-XBar_PN010022)^2/SSx_PN010022))</f>
        <v>9.9999324201372506</v>
      </c>
      <c r="X3" s="19">
        <f t="shared" ref="X3:X13" ca="1" si="7">$V3+ABS(_xlfn.T.INV(0.025,df_PN010022))*(Syx_PN010022*SQRT(1+1/n_PN010022+($Q3-XBar_PN010022)^2/SSx_PN010022))</f>
        <v>9.9999393545973785</v>
      </c>
    </row>
    <row r="4" spans="1:24" x14ac:dyDescent="0.35">
      <c r="A4" s="7">
        <v>43742</v>
      </c>
      <c r="B4" s="2">
        <f t="shared" ref="B4:B11" si="8">A4-A3</f>
        <v>31</v>
      </c>
      <c r="C4" s="2">
        <f>SUM(B$4:B4)</f>
        <v>31</v>
      </c>
      <c r="D4" s="6">
        <f t="shared" si="0"/>
        <v>-14.840000000049258</v>
      </c>
      <c r="E4" s="5">
        <f t="shared" ref="E4:E11" si="9">D4-D3</f>
        <v>-1.0000000116860974E-2</v>
      </c>
      <c r="F4" s="8">
        <v>9.9998515999999995</v>
      </c>
      <c r="G4" s="4">
        <v>3.1999999999999999E-6</v>
      </c>
      <c r="H4" s="19">
        <f t="shared" ca="1" si="1"/>
        <v>9.9998517449482716</v>
      </c>
      <c r="I4" s="19">
        <f t="shared" ca="1" si="2"/>
        <v>9.9998493977920937</v>
      </c>
      <c r="J4" s="19">
        <f t="shared" ca="1" si="3"/>
        <v>9.9998540921044494</v>
      </c>
      <c r="K4" s="13"/>
      <c r="L4" s="14" t="s">
        <v>16</v>
      </c>
      <c r="M4" s="16">
        <f ca="1">AVERAGE(OFFSET($C$3,,,COUNTA($C:$C)-3))</f>
        <v>855.36363636363637</v>
      </c>
      <c r="N4" s="13"/>
      <c r="O4" s="7">
        <v>43830</v>
      </c>
      <c r="P4" s="2">
        <f t="shared" ref="P4:P9" si="10">O4-O3</f>
        <v>144</v>
      </c>
      <c r="Q4" s="2">
        <f>SUM(P$4:P4)</f>
        <v>144</v>
      </c>
      <c r="R4" s="6">
        <f t="shared" si="4"/>
        <v>-6.2299999999737565</v>
      </c>
      <c r="S4" s="5">
        <f t="shared" ref="S4:S9" si="11">R4-R3</f>
        <v>0.29000000001389026</v>
      </c>
      <c r="T4" s="8">
        <v>9.9999377000000003</v>
      </c>
      <c r="U4" s="4">
        <v>3.1999999999999999E-6</v>
      </c>
      <c r="V4" s="19">
        <f t="shared" ca="1" si="5"/>
        <v>9.9999360601554592</v>
      </c>
      <c r="W4" s="19">
        <f ca="1">$V4-ABS(_xlfn.T.INV(0.025,df_PN010022))*(Syx_PN010022*SQRT(1+1/n_PN010022+($Q4-XBar_PN010022)^2/SSx_PN010022))</f>
        <v>9.999932671577362</v>
      </c>
      <c r="X4" s="19">
        <f t="shared" ca="1" si="7"/>
        <v>9.9999394487335564</v>
      </c>
    </row>
    <row r="5" spans="1:24" x14ac:dyDescent="0.35">
      <c r="A5" s="7">
        <v>43753</v>
      </c>
      <c r="B5" s="2">
        <f t="shared" si="8"/>
        <v>11</v>
      </c>
      <c r="C5" s="2">
        <f>SUM(B$4:B5)</f>
        <v>42</v>
      </c>
      <c r="D5" s="6">
        <f t="shared" si="0"/>
        <v>-14.849999999988484</v>
      </c>
      <c r="E5" s="5">
        <f t="shared" si="9"/>
        <v>-9.9999999392252903E-3</v>
      </c>
      <c r="F5" s="8">
        <v>9.9998515000000001</v>
      </c>
      <c r="G5" s="4">
        <v>3.1999999999999999E-6</v>
      </c>
      <c r="H5" s="19">
        <f t="shared" ca="1" si="1"/>
        <v>9.9998516300785383</v>
      </c>
      <c r="I5" s="19">
        <f t="shared" ca="1" si="2"/>
        <v>9.9998492861684092</v>
      </c>
      <c r="J5" s="19">
        <f t="shared" ca="1" si="3"/>
        <v>9.9998539739886674</v>
      </c>
      <c r="K5" s="13"/>
      <c r="L5" s="14" t="s">
        <v>17</v>
      </c>
      <c r="M5" s="16">
        <f ca="1">STEYX(OFFSET($F$3,,,n_PN010003),OFFSET($C$3,,,n_PN010003))</f>
        <v>9.4018708011523052E-7</v>
      </c>
      <c r="N5" s="13"/>
      <c r="O5" s="7">
        <v>44175</v>
      </c>
      <c r="P5" s="2">
        <f t="shared" si="10"/>
        <v>345</v>
      </c>
      <c r="Q5" s="2">
        <f>SUM(P$4:P5)</f>
        <v>489</v>
      </c>
      <c r="R5" s="6">
        <f t="shared" si="4"/>
        <v>-6.1699999999831334</v>
      </c>
      <c r="S5" s="5">
        <f t="shared" si="11"/>
        <v>5.999999999062311E-2</v>
      </c>
      <c r="T5" s="8">
        <v>9.9999383000000002</v>
      </c>
      <c r="U5" s="4">
        <v>3.1999999999999999E-6</v>
      </c>
      <c r="V5" s="19">
        <f t="shared" ca="1" si="5"/>
        <v>9.9999364741270576</v>
      </c>
      <c r="W5" s="19">
        <f t="shared" ca="1" si="6"/>
        <v>9.9999332322013075</v>
      </c>
      <c r="X5" s="19">
        <f t="shared" ca="1" si="7"/>
        <v>9.9999397160528076</v>
      </c>
    </row>
    <row r="6" spans="1:24" x14ac:dyDescent="0.35">
      <c r="A6" s="7">
        <v>43970</v>
      </c>
      <c r="B6" s="2">
        <f t="shared" si="8"/>
        <v>217</v>
      </c>
      <c r="C6" s="2">
        <f>SUM(B$4:B6)</f>
        <v>259</v>
      </c>
      <c r="D6" s="6">
        <f t="shared" si="0"/>
        <v>-15.059999999955664</v>
      </c>
      <c r="E6" s="5">
        <f t="shared" si="9"/>
        <v>-0.20999999996718088</v>
      </c>
      <c r="F6" s="8">
        <v>9.9998494000000004</v>
      </c>
      <c r="G6" s="4">
        <v>3.1999999999999999E-6</v>
      </c>
      <c r="H6" s="19">
        <f t="shared" ca="1" si="1"/>
        <v>9.9998493640119825</v>
      </c>
      <c r="I6" s="19">
        <f t="shared" ca="1" si="2"/>
        <v>9.9998470759255778</v>
      </c>
      <c r="J6" s="19">
        <f t="shared" ca="1" si="3"/>
        <v>9.9998516520983873</v>
      </c>
      <c r="K6" s="13"/>
      <c r="L6" s="14" t="s">
        <v>18</v>
      </c>
      <c r="M6" s="16">
        <f ca="1">DEVSQ(OFFSET($C$3,,,n_PN010003))</f>
        <v>5351578.5454545449</v>
      </c>
      <c r="N6" s="13"/>
      <c r="O6" s="7">
        <v>44426</v>
      </c>
      <c r="P6" s="2">
        <f t="shared" si="10"/>
        <v>251</v>
      </c>
      <c r="Q6" s="2">
        <f>SUM(P$4:P6)</f>
        <v>740</v>
      </c>
      <c r="R6" s="6">
        <f t="shared" si="4"/>
        <v>-6.5100000000484215</v>
      </c>
      <c r="S6" s="5">
        <f t="shared" si="11"/>
        <v>-0.34000000006528808</v>
      </c>
      <c r="T6" s="8">
        <v>9.9999348999999995</v>
      </c>
      <c r="U6" s="4">
        <v>3.1999999999999999E-6</v>
      </c>
      <c r="V6" s="19">
        <f t="shared" ca="1" si="5"/>
        <v>9.9999367753063932</v>
      </c>
      <c r="W6" s="19">
        <f t="shared" ca="1" si="6"/>
        <v>9.9999335994663028</v>
      </c>
      <c r="X6" s="19">
        <f t="shared" ca="1" si="7"/>
        <v>9.9999399511464837</v>
      </c>
    </row>
    <row r="7" spans="1:24" x14ac:dyDescent="0.35">
      <c r="A7" s="7">
        <v>44322</v>
      </c>
      <c r="B7" s="2">
        <f t="shared" si="8"/>
        <v>352</v>
      </c>
      <c r="C7" s="2">
        <f>SUM(B$4:B7)</f>
        <v>611</v>
      </c>
      <c r="D7" s="6">
        <f t="shared" si="0"/>
        <v>-15.379999999964866</v>
      </c>
      <c r="E7" s="5">
        <f t="shared" si="9"/>
        <v>-0.32000000000920181</v>
      </c>
      <c r="F7" s="8">
        <v>9.9998462000000004</v>
      </c>
      <c r="G7" s="4">
        <v>3.1999999999999999E-6</v>
      </c>
      <c r="H7" s="19">
        <f t="shared" ca="1" si="1"/>
        <v>9.9998456881805193</v>
      </c>
      <c r="I7" s="19">
        <f t="shared" ca="1" si="2"/>
        <v>9.9998434554253954</v>
      </c>
      <c r="J7" s="19">
        <f t="shared" ca="1" si="3"/>
        <v>9.9998479209356432</v>
      </c>
      <c r="K7" s="13"/>
      <c r="L7" s="13"/>
      <c r="M7" s="13"/>
      <c r="N7" s="13"/>
      <c r="O7" s="7">
        <v>44657</v>
      </c>
      <c r="P7" s="2">
        <f t="shared" si="10"/>
        <v>231</v>
      </c>
      <c r="Q7" s="2">
        <f>SUM(P$4:P7)</f>
        <v>971</v>
      </c>
      <c r="R7" s="6">
        <f t="shared" si="4"/>
        <v>-6.4000000000064006</v>
      </c>
      <c r="S7" s="5">
        <f t="shared" si="11"/>
        <v>0.11000000004202093</v>
      </c>
      <c r="T7" s="8">
        <v>9.9999359999999999</v>
      </c>
      <c r="U7" s="4">
        <v>3.1999999999999999E-6</v>
      </c>
      <c r="V7" s="19">
        <f t="shared" ca="1" si="5"/>
        <v>9.9999370524873754</v>
      </c>
      <c r="W7" s="19">
        <f t="shared" ca="1" si="6"/>
        <v>9.9999339050277172</v>
      </c>
      <c r="X7" s="19">
        <f t="shared" ca="1" si="7"/>
        <v>9.9999401999470336</v>
      </c>
    </row>
    <row r="8" spans="1:24" ht="12" x14ac:dyDescent="0.35">
      <c r="A8" s="7">
        <v>44550</v>
      </c>
      <c r="B8" s="2">
        <f t="shared" si="8"/>
        <v>228</v>
      </c>
      <c r="C8" s="2">
        <f>SUM(B$4:B8)</f>
        <v>839</v>
      </c>
      <c r="D8" s="6">
        <f t="shared" si="0"/>
        <v>-15.469999999950801</v>
      </c>
      <c r="E8" s="5">
        <f t="shared" si="9"/>
        <v>-8.9999999985934664E-2</v>
      </c>
      <c r="F8" s="8">
        <v>9.9998453000000005</v>
      </c>
      <c r="G8" s="4">
        <v>3.1999999999999999E-6</v>
      </c>
      <c r="H8" s="19">
        <f t="shared" ca="1" si="1"/>
        <v>9.9998433072442303</v>
      </c>
      <c r="I8" s="19">
        <f t="shared" ca="1" si="2"/>
        <v>9.9998410857699316</v>
      </c>
      <c r="J8" s="19">
        <f t="shared" ca="1" si="3"/>
        <v>9.9998455287185291</v>
      </c>
      <c r="K8" s="13"/>
      <c r="L8" s="20" t="s">
        <v>19</v>
      </c>
      <c r="M8" s="20"/>
      <c r="N8" s="13"/>
      <c r="O8" s="7">
        <v>44865</v>
      </c>
      <c r="P8" s="2">
        <f t="shared" si="10"/>
        <v>208</v>
      </c>
      <c r="Q8" s="2">
        <f>SUM(P$4:P8)</f>
        <v>1179</v>
      </c>
      <c r="R8" s="6">
        <f t="shared" si="4"/>
        <v>-6.3400000000157775</v>
      </c>
      <c r="S8" s="5">
        <f t="shared" si="11"/>
        <v>5.999999999062311E-2</v>
      </c>
      <c r="T8" s="8">
        <v>9.9999365999999998</v>
      </c>
      <c r="U8" s="4">
        <v>3.1999999999999999E-6</v>
      </c>
      <c r="V8" s="19">
        <f t="shared" ca="1" si="5"/>
        <v>9.9999373020702524</v>
      </c>
      <c r="W8" s="19">
        <f t="shared" ca="1" si="6"/>
        <v>9.9999341528088355</v>
      </c>
      <c r="X8" s="19">
        <f t="shared" ca="1" si="7"/>
        <v>9.9999404513316694</v>
      </c>
    </row>
    <row r="9" spans="1:24" x14ac:dyDescent="0.35">
      <c r="A9" s="7">
        <v>44761</v>
      </c>
      <c r="B9" s="2">
        <f t="shared" si="8"/>
        <v>211</v>
      </c>
      <c r="C9" s="2">
        <f>SUM(B$4:B9)</f>
        <v>1050</v>
      </c>
      <c r="D9" s="6">
        <f t="shared" si="0"/>
        <v>-16.010000000044045</v>
      </c>
      <c r="E9" s="5">
        <f t="shared" si="9"/>
        <v>-0.54000000009324367</v>
      </c>
      <c r="F9" s="8">
        <v>9.9998398999999996</v>
      </c>
      <c r="G9" s="4">
        <v>3.1999999999999999E-6</v>
      </c>
      <c r="H9" s="19">
        <f t="shared" ca="1" si="1"/>
        <v>9.9998411038338908</v>
      </c>
      <c r="I9" s="19">
        <f t="shared" ca="1" si="2"/>
        <v>9.9998388752147864</v>
      </c>
      <c r="J9" s="19">
        <f t="shared" ca="1" si="3"/>
        <v>9.9998433324529952</v>
      </c>
      <c r="K9" s="13"/>
      <c r="L9" s="14" t="s">
        <v>14</v>
      </c>
      <c r="M9" s="15">
        <f>COUNTA($T:$T)-2</f>
        <v>10</v>
      </c>
      <c r="N9" s="13"/>
      <c r="O9" s="7">
        <v>45097</v>
      </c>
      <c r="P9" s="2">
        <f t="shared" si="10"/>
        <v>232</v>
      </c>
      <c r="Q9" s="2">
        <f>SUM(P$4:P9)</f>
        <v>1411</v>
      </c>
      <c r="R9" s="6">
        <f t="shared" si="4"/>
        <v>-6.2299999999737565</v>
      </c>
      <c r="S9" s="5">
        <f t="shared" si="11"/>
        <v>0.11000000004202093</v>
      </c>
      <c r="T9" s="8">
        <v>9.9999377000000003</v>
      </c>
      <c r="U9" s="4">
        <v>3.1999999999999999E-6</v>
      </c>
      <c r="V9" s="19">
        <f t="shared" ca="1" si="5"/>
        <v>9.999937580451153</v>
      </c>
      <c r="W9" s="19">
        <f t="shared" ca="1" si="6"/>
        <v>9.9999343986544655</v>
      </c>
      <c r="X9" s="19">
        <f t="shared" ca="1" si="7"/>
        <v>9.9999407622478405</v>
      </c>
    </row>
    <row r="10" spans="1:24" x14ac:dyDescent="0.35">
      <c r="A10" s="7">
        <v>44968</v>
      </c>
      <c r="B10" s="2">
        <f t="shared" si="8"/>
        <v>207</v>
      </c>
      <c r="C10" s="2">
        <f>SUM(B$4:B10)</f>
        <v>1257</v>
      </c>
      <c r="D10" s="6">
        <f t="shared" si="0"/>
        <v>-16.130000000025291</v>
      </c>
      <c r="E10" s="5">
        <f t="shared" si="9"/>
        <v>-0.11999999998124622</v>
      </c>
      <c r="F10" s="8">
        <v>9.9998386999999997</v>
      </c>
      <c r="G10" s="4">
        <v>3.1999999999999999E-6</v>
      </c>
      <c r="H10" s="19">
        <f t="shared" ca="1" si="1"/>
        <v>9.9998389421943656</v>
      </c>
      <c r="I10" s="19">
        <f t="shared" ca="1" si="2"/>
        <v>9.9998366902901274</v>
      </c>
      <c r="J10" s="19">
        <f t="shared" ca="1" si="3"/>
        <v>9.9998411940986038</v>
      </c>
      <c r="K10" s="13"/>
      <c r="L10" s="14" t="s">
        <v>15</v>
      </c>
      <c r="M10" s="15">
        <f>n_PN010002-2</f>
        <v>8</v>
      </c>
      <c r="N10" s="13"/>
      <c r="O10" s="7">
        <v>45313</v>
      </c>
      <c r="P10" s="2">
        <f t="shared" ref="P10" si="12">O10-O9</f>
        <v>216</v>
      </c>
      <c r="Q10" s="2">
        <f>SUM(P$4:P10)</f>
        <v>1627</v>
      </c>
      <c r="R10" s="6">
        <f t="shared" ref="R10:R11" si="13">(T10-10)/10*1000000</f>
        <v>-6.1699999999831334</v>
      </c>
      <c r="S10" s="5">
        <f t="shared" ref="S10:S11" si="14">R10-R9</f>
        <v>5.999999999062311E-2</v>
      </c>
      <c r="T10" s="8">
        <v>9.9999383000000002</v>
      </c>
      <c r="U10" s="4">
        <v>3.1999999999999999E-6</v>
      </c>
      <c r="V10" s="19">
        <f t="shared" ca="1" si="5"/>
        <v>9.99993783963337</v>
      </c>
      <c r="W10" s="19">
        <f t="shared" ca="1" si="6"/>
        <v>9.9999345994365747</v>
      </c>
      <c r="X10" s="19">
        <f t="shared" ca="1" si="7"/>
        <v>9.9999410798301653</v>
      </c>
    </row>
    <row r="11" spans="1:24" x14ac:dyDescent="0.35">
      <c r="A11" s="7">
        <v>45208</v>
      </c>
      <c r="B11" s="2">
        <f t="shared" si="8"/>
        <v>240</v>
      </c>
      <c r="C11" s="2">
        <f>SUM(B$4:B11)</f>
        <v>1497</v>
      </c>
      <c r="D11" s="6">
        <f t="shared" si="0"/>
        <v>-16.480000000029804</v>
      </c>
      <c r="E11" s="5">
        <f t="shared" si="9"/>
        <v>-0.35000000000451337</v>
      </c>
      <c r="F11" s="8">
        <v>9.9998351999999997</v>
      </c>
      <c r="G11" s="4">
        <v>3.1999999999999999E-6</v>
      </c>
      <c r="H11" s="19">
        <f t="shared" ca="1" si="1"/>
        <v>9.9998364359456406</v>
      </c>
      <c r="I11" s="19">
        <f t="shared" ca="1" si="2"/>
        <v>9.9998341375300068</v>
      </c>
      <c r="J11" s="19">
        <f t="shared" ca="1" si="3"/>
        <v>9.9998387343612745</v>
      </c>
      <c r="K11" s="13"/>
      <c r="L11" s="14" t="s">
        <v>16</v>
      </c>
      <c r="M11" s="16">
        <f ca="1">AVERAGE(OFFSET($Q$3,,,COUNTA($Q:$Q)-3))</f>
        <v>1060.5999999999999</v>
      </c>
      <c r="N11" s="13"/>
      <c r="O11" s="7">
        <v>45572</v>
      </c>
      <c r="P11" s="2">
        <f t="shared" ref="P11" si="15">O11-O10</f>
        <v>259</v>
      </c>
      <c r="Q11" s="2">
        <f>SUM(P$4:P11)</f>
        <v>1886</v>
      </c>
      <c r="R11" s="6">
        <f t="shared" si="13"/>
        <v>-6.089999999936424</v>
      </c>
      <c r="S11" s="5">
        <f t="shared" si="14"/>
        <v>8.0000000046709374E-2</v>
      </c>
      <c r="T11" s="8">
        <v>9.9999391000000006</v>
      </c>
      <c r="U11" s="4">
        <v>3.1999999999999999E-6</v>
      </c>
      <c r="V11" s="19">
        <f t="shared" ca="1" si="5"/>
        <v>9.9999381504120475</v>
      </c>
      <c r="W11" s="19">
        <f t="shared" ca="1" si="6"/>
        <v>9.9999348065253599</v>
      </c>
      <c r="X11" s="19">
        <f t="shared" ca="1" si="7"/>
        <v>9.999941494298735</v>
      </c>
    </row>
    <row r="12" spans="1:24" x14ac:dyDescent="0.35">
      <c r="A12" s="7">
        <v>45519</v>
      </c>
      <c r="B12" s="2">
        <f t="shared" ref="B12" si="16">A12-A11</f>
        <v>311</v>
      </c>
      <c r="C12" s="2">
        <f>SUM(B$4:B12)</f>
        <v>1808</v>
      </c>
      <c r="D12" s="6">
        <f t="shared" ref="D12" si="17">(F12-10)/10*1000000</f>
        <v>-16.609999999950276</v>
      </c>
      <c r="E12" s="5">
        <f t="shared" ref="E12" si="18">D12-D11</f>
        <v>-0.12999999992047151</v>
      </c>
      <c r="F12" s="8">
        <v>9.9998339000000005</v>
      </c>
      <c r="G12" s="4">
        <v>3.1999999999999999E-6</v>
      </c>
      <c r="H12" s="19">
        <f t="shared" ca="1" si="1"/>
        <v>9.9998331882650007</v>
      </c>
      <c r="I12" s="19">
        <f t="shared" ca="1" si="2"/>
        <v>9.999830800418259</v>
      </c>
      <c r="J12" s="19">
        <f t="shared" ca="1" si="3"/>
        <v>9.9998355761117423</v>
      </c>
      <c r="K12" s="13"/>
      <c r="L12" s="14" t="s">
        <v>17</v>
      </c>
      <c r="M12" s="16">
        <f ca="1">STEYX(OFFSET($T$3,,,n_PN010002),OFFSET($Q$3,,,n_PN010002))</f>
        <v>1.3003798016442393E-6</v>
      </c>
      <c r="N12" s="13"/>
      <c r="O12" s="7">
        <v>45845</v>
      </c>
      <c r="P12" s="2">
        <f t="shared" ref="P12" si="19">O12-O11</f>
        <v>273</v>
      </c>
      <c r="Q12" s="2">
        <f>SUM(P$4:P12)</f>
        <v>2159</v>
      </c>
      <c r="R12" s="6">
        <f t="shared" ref="R12" si="20">(T12-10)/10*1000000</f>
        <v>-6.1799999999223587</v>
      </c>
      <c r="S12" s="5">
        <f t="shared" ref="S12" si="21">R12-R11</f>
        <v>-8.9999999985934664E-2</v>
      </c>
      <c r="T12" s="8">
        <v>9.9999382000000008</v>
      </c>
      <c r="U12" s="4">
        <v>3.1999999999999999E-6</v>
      </c>
      <c r="V12" s="19">
        <f t="shared" ca="1" si="5"/>
        <v>9.9999384779895735</v>
      </c>
      <c r="W12" s="19">
        <f t="shared" ca="1" si="6"/>
        <v>9.9999349885418809</v>
      </c>
      <c r="X12" s="19">
        <f t="shared" ca="1" si="7"/>
        <v>9.999941967437266</v>
      </c>
    </row>
    <row r="13" spans="1:24" x14ac:dyDescent="0.35">
      <c r="A13" s="7">
        <v>45726</v>
      </c>
      <c r="B13" s="2">
        <f t="shared" ref="B13" si="22">A13-A12</f>
        <v>207</v>
      </c>
      <c r="C13" s="2">
        <f>SUM(B$4:B13)</f>
        <v>2015</v>
      </c>
      <c r="D13" s="6">
        <f t="shared" ref="D13" si="23">(F13-10)/10*1000000</f>
        <v>-16.890000000024941</v>
      </c>
      <c r="E13" s="5">
        <f t="shared" ref="E13" si="24">D13-D12</f>
        <v>-0.28000000007466497</v>
      </c>
      <c r="F13" s="8">
        <v>9.9998310999999998</v>
      </c>
      <c r="G13" s="4">
        <v>3.1999999999999999E-6</v>
      </c>
      <c r="H13" s="19">
        <f t="shared" ca="1" si="1"/>
        <v>9.9998310266254737</v>
      </c>
      <c r="I13" s="19">
        <f t="shared" ca="1" si="2"/>
        <v>9.999828562605277</v>
      </c>
      <c r="J13" s="19">
        <f t="shared" ca="1" si="3"/>
        <v>9.9998334906456705</v>
      </c>
      <c r="K13" s="13"/>
      <c r="L13" s="14" t="s">
        <v>18</v>
      </c>
      <c r="M13" s="16">
        <f ca="1">DEVSQ(OFFSET($Q$3,,,n_PN010002))</f>
        <v>4747942.4000000004</v>
      </c>
      <c r="N13" s="13"/>
      <c r="O13" s="7">
        <v>46140</v>
      </c>
      <c r="P13" s="2">
        <f t="shared" ref="P13" si="25">O13-O12</f>
        <v>295</v>
      </c>
      <c r="Q13" s="2">
        <f>SUM(P$4:P13)</f>
        <v>2454</v>
      </c>
      <c r="R13" s="6">
        <f t="shared" ref="R13" si="26">(T13-10)/10*1000000</f>
        <v>-5.9500000000767272</v>
      </c>
      <c r="S13" s="5">
        <f t="shared" ref="S13" si="27">R13-R12</f>
        <v>0.22999999984563146</v>
      </c>
      <c r="T13" s="8">
        <v>9.9999404999999992</v>
      </c>
      <c r="U13" s="4">
        <v>3.1999999999999999E-6</v>
      </c>
      <c r="V13" s="19">
        <f t="shared" ca="1" si="5"/>
        <v>9.9999388319652862</v>
      </c>
      <c r="W13" s="19">
        <f t="shared" ca="1" si="6"/>
        <v>9.9999351484331438</v>
      </c>
      <c r="X13" s="19">
        <f t="shared" ca="1" si="7"/>
        <v>9.9999425154974286</v>
      </c>
    </row>
    <row r="14" spans="1:24" ht="14.5" x14ac:dyDescent="0.35">
      <c r="A14" s="7">
        <v>46008</v>
      </c>
      <c r="B14" s="2">
        <f t="shared" ref="B14" si="28">A14-A13</f>
        <v>282</v>
      </c>
      <c r="C14" s="2">
        <f>SUM(B$4:B14)</f>
        <v>2297</v>
      </c>
      <c r="D14" s="6">
        <f t="shared" ref="D14" si="29">(F14-10)/10*1000000</f>
        <v>-17.150000000043519</v>
      </c>
      <c r="E14" s="5">
        <f t="shared" ref="E14" si="30">D14-D13</f>
        <v>-0.2600000000185787</v>
      </c>
      <c r="F14" s="8">
        <v>9.9998284999999996</v>
      </c>
      <c r="G14" s="4">
        <v>3.1999999999999999E-6</v>
      </c>
      <c r="H14" s="19">
        <f t="shared" ca="1" si="1"/>
        <v>9.999828081783221</v>
      </c>
      <c r="I14" s="19">
        <f t="shared" ca="1" si="2"/>
        <v>9.9998254950002341</v>
      </c>
      <c r="J14" s="19">
        <f t="shared" ca="1" si="3"/>
        <v>9.9998306685662079</v>
      </c>
      <c r="K14" s="17"/>
      <c r="L14" s="17"/>
      <c r="M14" s="17"/>
      <c r="N14" s="17"/>
      <c r="T14" s="3"/>
    </row>
    <row r="15" spans="1:24" x14ac:dyDescent="0.35">
      <c r="A15" s="7"/>
      <c r="B15" s="2"/>
      <c r="C15" s="2"/>
      <c r="D15" s="6"/>
      <c r="E15" s="5"/>
      <c r="F15" s="3"/>
      <c r="G15" s="4"/>
      <c r="H15" s="4"/>
      <c r="I15" s="4"/>
      <c r="J15" s="4"/>
      <c r="T15" s="3"/>
    </row>
    <row r="16" spans="1:24" x14ac:dyDescent="0.35">
      <c r="A16" s="7"/>
      <c r="B16" s="2"/>
      <c r="C16" s="2"/>
      <c r="D16" s="6"/>
      <c r="E16" s="5"/>
      <c r="F16" s="3"/>
      <c r="G16" s="4"/>
      <c r="H16" s="4"/>
      <c r="I16" s="4"/>
      <c r="J16" s="4"/>
      <c r="T16" s="3"/>
    </row>
    <row r="17" spans="1:20" x14ac:dyDescent="0.35">
      <c r="A17" s="7"/>
      <c r="B17" s="2"/>
      <c r="C17" s="2"/>
      <c r="D17" s="6"/>
      <c r="E17" s="5"/>
      <c r="G17" s="4"/>
      <c r="H17" s="4"/>
      <c r="I17" s="4"/>
      <c r="J17" s="4"/>
      <c r="T17" s="3"/>
    </row>
    <row r="18" spans="1:20" x14ac:dyDescent="0.35">
      <c r="A18" s="7"/>
      <c r="B18" s="2"/>
      <c r="C18" s="2"/>
      <c r="D18" s="6"/>
      <c r="E18" s="5"/>
      <c r="G18" s="4"/>
      <c r="H18" s="4"/>
      <c r="I18" s="4"/>
      <c r="J18" s="4"/>
      <c r="T18" s="3"/>
    </row>
    <row r="19" spans="1:20" x14ac:dyDescent="0.35">
      <c r="B19" s="2"/>
      <c r="T19" s="3"/>
    </row>
    <row r="20" spans="1:20" x14ac:dyDescent="0.35">
      <c r="B20" s="2"/>
    </row>
    <row r="21" spans="1:20" x14ac:dyDescent="0.35">
      <c r="B21" s="2"/>
    </row>
    <row r="22" spans="1:20" x14ac:dyDescent="0.35">
      <c r="B22" s="2"/>
    </row>
    <row r="23" spans="1:20" x14ac:dyDescent="0.35">
      <c r="B23" s="2"/>
    </row>
    <row r="24" spans="1:20" x14ac:dyDescent="0.35">
      <c r="B24" s="2"/>
    </row>
    <row r="25" spans="1:20" x14ac:dyDescent="0.35">
      <c r="B25" s="2"/>
    </row>
    <row r="26" spans="1:20" x14ac:dyDescent="0.35">
      <c r="B26" s="2"/>
    </row>
    <row r="27" spans="1:20" x14ac:dyDescent="0.35">
      <c r="B27" s="2"/>
    </row>
  </sheetData>
  <mergeCells count="4">
    <mergeCell ref="L1:M1"/>
    <mergeCell ref="L8:M8"/>
    <mergeCell ref="H1:J1"/>
    <mergeCell ref="V1:X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235E799D978469D5A3DE19AC51D2D" ma:contentTypeVersion="10" ma:contentTypeDescription="Create a new document." ma:contentTypeScope="" ma:versionID="2f8dd52a4ebb9c349144a3bc151f6d14">
  <xsd:schema xmlns:xsd="http://www.w3.org/2001/XMLSchema" xmlns:xs="http://www.w3.org/2001/XMLSchema" xmlns:p="http://schemas.microsoft.com/office/2006/metadata/properties" xmlns:ns2="e9030caa-ab7d-4043-a723-846408bcfa62" targetNamespace="http://schemas.microsoft.com/office/2006/metadata/properties" ma:root="true" ma:fieldsID="ff1b3e1682df009e112d2ea2d6cd6fd8" ns2:_="">
    <xsd:import namespace="e9030caa-ab7d-4043-a723-846408bcfa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Adjusted_x003f_" minOccurs="0"/>
                <xsd:element ref="ns2:CalProvider" minOccurs="0"/>
                <xsd:element ref="ns2:Cal_x002e_Date" minOccurs="0"/>
                <xsd:element ref="ns2:ETE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30caa-ab7d-4043-a723-846408bcfa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djusted_x003f_" ma:index="13" nillable="true" ma:displayName="Adjusted?" ma:default="0" ma:description="Record of whether this unit been adjusted during this activity" ma:format="Dropdown" ma:internalName="Adjusted_x003f_">
      <xsd:simpleType>
        <xsd:restriction base="dms:Boolean"/>
      </xsd:simpleType>
    </xsd:element>
    <xsd:element name="CalProvider" ma:index="14" nillable="true" ma:displayName="Cal Provider" ma:description="Location of calibration" ma:format="Dropdown" ma:internalName="CalProvider">
      <xsd:simpleType>
        <xsd:restriction base="dms:Text">
          <xsd:maxLength value="255"/>
        </xsd:restriction>
      </xsd:simpleType>
    </xsd:element>
    <xsd:element name="Cal_x002e_Date" ma:index="15" nillable="true" ma:displayName="Cal. Date" ma:default="10/11/2023" ma:description="Date of Calibration" ma:format="DateOnly" ma:internalName="Cal_x002e_Date">
      <xsd:simpleType>
        <xsd:restriction base="dms:DateTime"/>
      </xsd:simpleType>
    </xsd:element>
    <xsd:element name="ETEs" ma:index="16" nillable="true" ma:displayName="ETEs" ma:decimals="0" ma:description="Set of ETEs being used" ma:format="Dropdown" ma:internalName="ETEs" ma:percentage="FALSE">
      <xsd:simpleType>
        <xsd:restriction base="dms:Number">
          <xsd:maxInclusive value="2"/>
          <xsd:minInclusive value="1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justed_x003f_ xmlns="e9030caa-ab7d-4043-a723-846408bcfa62">false</Adjusted_x003f_>
    <Cal_x002e_Date xmlns="e9030caa-ab7d-4043-a723-846408bcfa62" xsi:nil="true"/>
    <CalProvider xmlns="e9030caa-ab7d-4043-a723-846408bcfa62" xsi:nil="true"/>
    <ETEs xmlns="e9030caa-ab7d-4043-a723-846408bcfa62" xsi:nil="true"/>
  </documentManagement>
</p:properties>
</file>

<file path=customXml/itemProps1.xml><?xml version="1.0" encoding="utf-8"?>
<ds:datastoreItem xmlns:ds="http://schemas.openxmlformats.org/officeDocument/2006/customXml" ds:itemID="{B31D716C-8BB4-4195-8D97-FFC379FC0E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30caa-ab7d-4043-a723-846408bcfa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B405B1-790E-447E-9340-BE29EAD376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174BA3-8110-46D4-B360-612579FF9A9F}">
  <ds:schemaRefs>
    <ds:schemaRef ds:uri="http://schemas.microsoft.com/office/2006/metadata/properties"/>
    <ds:schemaRef ds:uri="http://schemas.microsoft.com/office/infopath/2007/PartnerControls"/>
    <ds:schemaRef ds:uri="e9030caa-ab7d-4043-a723-846408bcfa62"/>
  </ds:schemaRefs>
</ds:datastoreItem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10 Ohm</vt:lpstr>
      <vt:lpstr>'10 Ohm'!df_PN010003</vt:lpstr>
      <vt:lpstr>'10 Ohm'!df_PN010022</vt:lpstr>
      <vt:lpstr>'10 Ohm'!n_PN010001</vt:lpstr>
      <vt:lpstr>'10 Ohm'!n_PN010002</vt:lpstr>
      <vt:lpstr>'10 Ohm'!n_PN010003</vt:lpstr>
      <vt:lpstr>'10 Ohm'!n_PN010022</vt:lpstr>
      <vt:lpstr>'10 Ohm'!SSx_PN010003</vt:lpstr>
      <vt:lpstr>'10 Ohm'!SSx_PN010022</vt:lpstr>
      <vt:lpstr>'10 Ohm'!Syx_PN010003</vt:lpstr>
      <vt:lpstr>'10 Ohm'!Syx_PN010022</vt:lpstr>
      <vt:lpstr>'10 Ohm'!XBar_PN010003</vt:lpstr>
      <vt:lpstr>'10 Ohm'!XBar_PN010022</vt:lpstr>
    </vt:vector>
  </TitlesOfParts>
  <Manager/>
  <Company>Keysight Technologies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 ZI YANG</dc:creator>
  <cp:keywords/>
  <dc:description/>
  <cp:lastModifiedBy>Zi-Yang Ang</cp:lastModifiedBy>
  <cp:revision/>
  <dcterms:created xsi:type="dcterms:W3CDTF">2023-11-16T12:05:47Z</dcterms:created>
  <dcterms:modified xsi:type="dcterms:W3CDTF">2026-09-07T23:58:41Z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0x01010044B235E799D978469D5A3DE19AC51D2D</vt:lpwstr>
  </property>
</Properties>
</file>