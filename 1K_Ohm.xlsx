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95017ECD-7825-4CEA-9BF0-11435798B3FF}" xr6:coauthVersionLast="47" xr6:coauthVersionMax="47" xr10:uidLastSave="{00000000-0000-0000-0000-000000000000}"/>
  <bookViews>
    <workbookView xWindow="-110" yWindow="-110" windowWidth="38620" windowHeight="21100" xr2:uid="{787A3A77-83EB-4019-B9DD-58E5695CA25C}"/>
  </bookViews>
  <sheets>
    <sheet name="1K Ohm" sheetId="1" r:id="rId1"/>
  </sheets>
  <definedNames>
    <definedName name="df_PN010006">'1K Ohm'!$M$10</definedName>
    <definedName name="df_PN010007">'1K Ohm'!$M$3</definedName>
    <definedName name="Known_xs_PN010006">OFFSET('1K Ohm'!$Q$3,,,COUNTA('1K Ohm'!$Q:$Q)-3)</definedName>
    <definedName name="Known_xs_PN010007">OFFSET('1K Ohm'!$C$3,,,COUNTA('1K Ohm'!$C:$C)-3)</definedName>
    <definedName name="Known_ys_PN010006">OFFSET('1K Ohm'!$T$3,,,COUNTA('1K Ohm'!$T:$T)-2)</definedName>
    <definedName name="Known_ys_PN010007">OFFSET('1K Ohm'!$F$3,,,COUNTA('1K Ohm'!$F:$F)-2)</definedName>
    <definedName name="n_PN010006">'1K Ohm'!$M$9</definedName>
    <definedName name="n_PN010007">'1K Ohm'!$M$2</definedName>
    <definedName name="PI_U_PN010006">OFFSET('1K Ohm'!$X$3,,,COUNTA('1K Ohm'!$X:$X)-1)</definedName>
    <definedName name="PI_U_PN010007">OFFSET('1K Ohm'!$I$3,,,COUNTA('1K Ohm'!$I:$I)-1)</definedName>
    <definedName name="Predicted_PN010006">OFFSET('1K Ohm'!$V$3,,,COUNTA('1K Ohm'!$V:$V)-2)</definedName>
    <definedName name="Predicted_PN010007">OFFSET('1K Ohm'!$H$3,,,COUNTA('1K Ohm'!$H:$H)-2)</definedName>
    <definedName name="SSx_PN010006">'1K Ohm'!$M$13</definedName>
    <definedName name="SSx_PN010007">'1K Ohm'!$M$6</definedName>
    <definedName name="Syx_PN010006">'1K Ohm'!$M$12</definedName>
    <definedName name="Syx_PN010007">'1K Ohm'!$M$5</definedName>
    <definedName name="XBar_PN010006">'1K Ohm'!$M$11</definedName>
    <definedName name="XBar_PN010007">'1K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S16" i="1" s="1"/>
  <c r="Q16" i="1"/>
  <c r="V16" i="1" s="1"/>
  <c r="P16" i="1"/>
  <c r="D26" i="1"/>
  <c r="E26" i="1" s="1"/>
  <c r="B26" i="1"/>
  <c r="C26" i="1" s="1"/>
  <c r="H26" i="1" s="1"/>
  <c r="R15" i="1"/>
  <c r="P15" i="1"/>
  <c r="R14" i="1"/>
  <c r="S14" i="1" s="1"/>
  <c r="P14" i="1"/>
  <c r="D25" i="1"/>
  <c r="E25" i="1" s="1"/>
  <c r="B25" i="1"/>
  <c r="C25" i="1" s="1"/>
  <c r="B24" i="1"/>
  <c r="C24" i="1" s="1"/>
  <c r="D24" i="1"/>
  <c r="E24" i="1" s="1"/>
  <c r="R13" i="1"/>
  <c r="S13" i="1" s="1"/>
  <c r="Q13" i="1"/>
  <c r="P13" i="1"/>
  <c r="H25" i="1" l="1"/>
  <c r="Q15" i="1"/>
  <c r="Q14" i="1"/>
  <c r="S15" i="1"/>
  <c r="H7" i="1"/>
  <c r="H19" i="1"/>
  <c r="H18" i="1"/>
  <c r="H24" i="1"/>
  <c r="H8" i="1"/>
  <c r="H20" i="1"/>
  <c r="H10" i="1"/>
  <c r="H11" i="1"/>
  <c r="H4" i="1"/>
  <c r="H6" i="1"/>
  <c r="H9" i="1"/>
  <c r="H21" i="1"/>
  <c r="H22" i="1"/>
  <c r="H23" i="1"/>
  <c r="H17" i="1"/>
  <c r="H12" i="1"/>
  <c r="H3" i="1"/>
  <c r="H5" i="1"/>
  <c r="H13" i="1"/>
  <c r="H16" i="1"/>
  <c r="H14" i="1"/>
  <c r="H15" i="1"/>
  <c r="R12" i="1"/>
  <c r="S12" i="1" s="1"/>
  <c r="P12" i="1"/>
  <c r="Q12" i="1" s="1"/>
  <c r="Q11" i="1"/>
  <c r="P11" i="1"/>
  <c r="R11" i="1"/>
  <c r="S11" i="1"/>
  <c r="B23" i="1"/>
  <c r="C23" i="1" s="1"/>
  <c r="D23" i="1"/>
  <c r="E23" i="1" s="1"/>
  <c r="D22" i="1"/>
  <c r="E22" i="1" s="1"/>
  <c r="B22" i="1"/>
  <c r="C22" i="1" s="1"/>
  <c r="B5" i="1"/>
  <c r="C5" i="1" s="1"/>
  <c r="D5" i="1"/>
  <c r="E5" i="1"/>
  <c r="P5" i="1"/>
  <c r="Q5" i="1" s="1"/>
  <c r="R5" i="1"/>
  <c r="S5" i="1" s="1"/>
  <c r="M9" i="1"/>
  <c r="M13" i="1" s="1"/>
  <c r="M2" i="1"/>
  <c r="V14" i="1" l="1"/>
  <c r="V4" i="1"/>
  <c r="V5" i="1"/>
  <c r="V6" i="1"/>
  <c r="V7" i="1"/>
  <c r="V8" i="1"/>
  <c r="V9" i="1"/>
  <c r="V10" i="1"/>
  <c r="V11" i="1"/>
  <c r="V12" i="1"/>
  <c r="V3" i="1"/>
  <c r="V13" i="1"/>
  <c r="V15" i="1"/>
  <c r="M6" i="1"/>
  <c r="M5" i="1"/>
  <c r="M3" i="1"/>
  <c r="M12" i="1"/>
  <c r="M10" i="1"/>
  <c r="D3" i="1"/>
  <c r="T3" i="1"/>
  <c r="R3" i="1" s="1"/>
  <c r="B4" i="1"/>
  <c r="D4" i="1"/>
  <c r="P4" i="1"/>
  <c r="Q4" i="1" s="1"/>
  <c r="R4" i="1"/>
  <c r="S6" i="1"/>
  <c r="B6" i="1"/>
  <c r="D6" i="1"/>
  <c r="P6" i="1"/>
  <c r="R6" i="1"/>
  <c r="B7" i="1"/>
  <c r="D7" i="1"/>
  <c r="P7" i="1"/>
  <c r="R7" i="1"/>
  <c r="S7" i="1" s="1"/>
  <c r="B8" i="1"/>
  <c r="D8" i="1"/>
  <c r="P8" i="1"/>
  <c r="R8" i="1"/>
  <c r="S9" i="1" s="1"/>
  <c r="B9" i="1"/>
  <c r="D9" i="1"/>
  <c r="P9" i="1"/>
  <c r="R9" i="1"/>
  <c r="B10" i="1"/>
  <c r="D10" i="1"/>
  <c r="P10" i="1"/>
  <c r="R10" i="1"/>
  <c r="B11" i="1"/>
  <c r="D11" i="1"/>
  <c r="B12" i="1"/>
  <c r="D12" i="1"/>
  <c r="E12" i="1" s="1"/>
  <c r="B13" i="1"/>
  <c r="D13" i="1"/>
  <c r="B14" i="1"/>
  <c r="D14" i="1"/>
  <c r="B15" i="1"/>
  <c r="D15" i="1"/>
  <c r="E15" i="1" s="1"/>
  <c r="B16" i="1"/>
  <c r="D16" i="1"/>
  <c r="B17" i="1"/>
  <c r="D17" i="1"/>
  <c r="B18" i="1"/>
  <c r="D18" i="1"/>
  <c r="B19" i="1"/>
  <c r="D19" i="1"/>
  <c r="E19" i="1" s="1"/>
  <c r="B20" i="1"/>
  <c r="D20" i="1"/>
  <c r="B21" i="1"/>
  <c r="D21" i="1"/>
  <c r="M11" i="1" l="1"/>
  <c r="W16" i="1" s="1"/>
  <c r="E6" i="1"/>
  <c r="Q10" i="1"/>
  <c r="E9" i="1"/>
  <c r="E16" i="1"/>
  <c r="E21" i="1"/>
  <c r="E17" i="1"/>
  <c r="S10" i="1"/>
  <c r="C13" i="1"/>
  <c r="E20" i="1"/>
  <c r="E8" i="1"/>
  <c r="E11" i="1"/>
  <c r="E13" i="1"/>
  <c r="Q6" i="1"/>
  <c r="E18" i="1"/>
  <c r="E14" i="1"/>
  <c r="S4" i="1"/>
  <c r="Q7" i="1"/>
  <c r="E10" i="1"/>
  <c r="S8" i="1"/>
  <c r="E7" i="1"/>
  <c r="E4" i="1"/>
  <c r="C16" i="1"/>
  <c r="C9" i="1"/>
  <c r="C21" i="1"/>
  <c r="C18" i="1"/>
  <c r="C15" i="1"/>
  <c r="C12" i="1"/>
  <c r="C10" i="1"/>
  <c r="Q8" i="1"/>
  <c r="C7" i="1"/>
  <c r="C4" i="1"/>
  <c r="C19" i="1"/>
  <c r="C6" i="1"/>
  <c r="C20" i="1"/>
  <c r="C17" i="1"/>
  <c r="C14" i="1"/>
  <c r="C11" i="1"/>
  <c r="Q9" i="1"/>
  <c r="C8" i="1"/>
  <c r="X16" i="1" l="1" a="1"/>
  <c r="X16" i="1" s="1"/>
  <c r="X13" i="1" a="1"/>
  <c r="X13" i="1" s="1"/>
  <c r="X15" i="1" a="1"/>
  <c r="X15" i="1" s="1"/>
  <c r="W15" i="1"/>
  <c r="X14" i="1" a="1"/>
  <c r="X14" i="1" s="1"/>
  <c r="W14" i="1"/>
  <c r="W13" i="1"/>
  <c r="W12" i="1"/>
  <c r="X11" i="1" a="1"/>
  <c r="X11" i="1" s="1"/>
  <c r="W11" i="1"/>
  <c r="X8" i="1" a="1"/>
  <c r="X8" i="1" s="1"/>
  <c r="W10" i="1"/>
  <c r="X5" i="1" a="1"/>
  <c r="X5" i="1" s="1"/>
  <c r="W7" i="1"/>
  <c r="X4" i="1" a="1"/>
  <c r="X4" i="1" s="1"/>
  <c r="W4" i="1"/>
  <c r="X6" i="1" a="1"/>
  <c r="X6" i="1" s="1"/>
  <c r="W8" i="1"/>
  <c r="W6" i="1"/>
  <c r="X9" i="1" a="1"/>
  <c r="X9" i="1" s="1"/>
  <c r="W9" i="1"/>
  <c r="X10" i="1" a="1"/>
  <c r="X10" i="1" s="1"/>
  <c r="X7" i="1" a="1"/>
  <c r="X7" i="1" s="1"/>
  <c r="X12" i="1" a="1"/>
  <c r="X12" i="1" s="1"/>
  <c r="W5" i="1"/>
  <c r="W3" i="1"/>
  <c r="X3" i="1" a="1"/>
  <c r="X3" i="1" s="1"/>
  <c r="M4" i="1"/>
  <c r="J26" i="1" l="1"/>
  <c r="I26" i="1"/>
  <c r="J25" i="1"/>
  <c r="I25" i="1"/>
  <c r="J3" i="1"/>
  <c r="I24" i="1"/>
  <c r="J24" i="1"/>
  <c r="J19" i="1"/>
  <c r="J23" i="1"/>
  <c r="J11" i="1"/>
  <c r="J17" i="1"/>
  <c r="J5" i="1"/>
  <c r="J15" i="1"/>
  <c r="I7" i="1"/>
  <c r="I21" i="1"/>
  <c r="I20" i="1"/>
  <c r="J13" i="1"/>
  <c r="J20" i="1"/>
  <c r="J4" i="1"/>
  <c r="I11" i="1"/>
  <c r="I23" i="1"/>
  <c r="I5" i="1"/>
  <c r="I12" i="1"/>
  <c r="J22" i="1"/>
  <c r="J21" i="1"/>
  <c r="I4" i="1"/>
  <c r="J8" i="1"/>
  <c r="I13" i="1"/>
  <c r="I18" i="1"/>
  <c r="I14" i="1"/>
  <c r="I19" i="1"/>
  <c r="J10" i="1"/>
  <c r="J9" i="1"/>
  <c r="J6" i="1"/>
  <c r="J18" i="1"/>
  <c r="I9" i="1"/>
  <c r="I8" i="1"/>
  <c r="I10" i="1"/>
  <c r="J7" i="1"/>
  <c r="J14" i="1"/>
  <c r="I17" i="1"/>
  <c r="I15" i="1"/>
  <c r="J12" i="1"/>
  <c r="I16" i="1"/>
  <c r="I22" i="1"/>
  <c r="J16" i="1"/>
  <c r="I6" i="1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<sst xmlns="http://schemas.openxmlformats.org/spreadsheetml/2006/main" count="38" uniqueCount="21">
  <si>
    <t>742A-1K</t>
  </si>
  <si>
    <t>PN010007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</si>
  <si>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</si>
  <si>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PN010007</t>
    </r>
  </si>
  <si>
    <t>PN010006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</si>
  <si>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</si>
  <si>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</si>
  <si>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</si>
  <si>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</si>
  <si>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</si>
  <si>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</si>
  <si>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</si>
  <si>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</si>
  <si>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</si>
  <si>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</si>
  <si>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</si>
  <si>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</si>
  <si>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</si>
  <si>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</si>
  <si>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PN010006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</si>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</sst>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00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  <font>
      <b/>
      <u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/>
    </xf>
    <xf numFmtId="0" fontId="0" fillId="5" borderId="0" xfId="0" applyFill="1"/>
    <xf numFmtId="0" fontId="4" fillId="8" borderId="1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4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PN010007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'1K Ohm'!$C$3:$C$26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2584</c:v>
                </c:pt>
                <c:pt idx="13">
                  <c:v>2615</c:v>
                </c:pt>
                <c:pt idx="14">
                  <c:v>2626</c:v>
                </c:pt>
                <c:pt idx="15">
                  <c:v>2843</c:v>
                </c:pt>
                <c:pt idx="16">
                  <c:v>3195</c:v>
                </c:pt>
                <c:pt idx="17">
                  <c:v>3423</c:v>
                </c:pt>
                <c:pt idx="18">
                  <c:v>3632</c:v>
                </c:pt>
                <c:pt idx="19">
                  <c:v>3841</c:v>
                </c:pt>
                <c:pt idx="20">
                  <c:v>4081</c:v>
                </c:pt>
                <c:pt idx="21">
                  <c:v>4392</c:v>
                </c:pt>
                <c:pt idx="22">
                  <c:v>4599</c:v>
                </c:pt>
                <c:pt idx="23">
                  <c:v>4881</c:v>
                </c:pt>
              </c:numCache>
            </c:numRef>
          </c:xVal>
          <c:yVal>
            <c:numRef>
              <c:f>'1K Ohm'!$F$3:$F$26</c:f>
              <c:numCache>
                <c:formatCode>0.00000</c:formatCode>
                <c:ptCount val="24"/>
                <c:pt idx="0">
                  <c:v>1000.0114</c:v>
                </c:pt>
                <c:pt idx="1">
                  <c:v>1000.0123</c:v>
                </c:pt>
                <c:pt idx="2">
                  <c:v>1000.01195</c:v>
                </c:pt>
                <c:pt idx="3">
                  <c:v>1000.0122</c:v>
                </c:pt>
                <c:pt idx="4">
                  <c:v>1000.0125</c:v>
                </c:pt>
                <c:pt idx="5">
                  <c:v>1000.0124</c:v>
                </c:pt>
                <c:pt idx="6">
                  <c:v>1000.0127</c:v>
                </c:pt>
                <c:pt idx="7">
                  <c:v>1000.0125</c:v>
                </c:pt>
                <c:pt idx="8">
                  <c:v>1000.0126</c:v>
                </c:pt>
                <c:pt idx="9">
                  <c:v>1000.0137999999999</c:v>
                </c:pt>
                <c:pt idx="10">
                  <c:v>1000.0137999999999</c:v>
                </c:pt>
                <c:pt idx="11">
                  <c:v>1000.01411</c:v>
                </c:pt>
                <c:pt idx="12">
                  <c:v>1000.01357</c:v>
                </c:pt>
                <c:pt idx="13">
                  <c:v>1000.01363</c:v>
                </c:pt>
                <c:pt idx="14">
                  <c:v>1000.01359</c:v>
                </c:pt>
                <c:pt idx="15" formatCode="General">
                  <c:v>1000.01438</c:v>
                </c:pt>
                <c:pt idx="16" formatCode="General">
                  <c:v>1000.01468</c:v>
                </c:pt>
                <c:pt idx="17" formatCode="General">
                  <c:v>1000.01466</c:v>
                </c:pt>
                <c:pt idx="18" formatCode="General">
                  <c:v>1000.0147899999999</c:v>
                </c:pt>
                <c:pt idx="19" formatCode="General">
                  <c:v>1000.01562</c:v>
                </c:pt>
                <c:pt idx="20" formatCode="General">
                  <c:v>1000.01484</c:v>
                </c:pt>
                <c:pt idx="21" formatCode="General">
                  <c:v>1000.01522</c:v>
                </c:pt>
                <c:pt idx="22" formatCode="General">
                  <c:v>1000.01588</c:v>
                </c:pt>
                <c:pt idx="23" formatCode="General">
                  <c:v>1000.01747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8-48E1-9BCA-E9788608DF2E}"/>
            </c:ext>
          </c:extLst>
        </c:ser>
        <c:ser>
          <c:idx val="1"/>
          <c:order val="1"/>
          <c:tx>
            <c:strRef>
              <c:f>'1K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'1K Ohm'!$C$3:$C$26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2584</c:v>
                </c:pt>
                <c:pt idx="13">
                  <c:v>2615</c:v>
                </c:pt>
                <c:pt idx="14">
                  <c:v>2626</c:v>
                </c:pt>
                <c:pt idx="15">
                  <c:v>2843</c:v>
                </c:pt>
                <c:pt idx="16">
                  <c:v>3195</c:v>
                </c:pt>
                <c:pt idx="17">
                  <c:v>3423</c:v>
                </c:pt>
                <c:pt idx="18">
                  <c:v>3632</c:v>
                </c:pt>
                <c:pt idx="19">
                  <c:v>3841</c:v>
                </c:pt>
                <c:pt idx="20">
                  <c:v>4081</c:v>
                </c:pt>
                <c:pt idx="21">
                  <c:v>4392</c:v>
                </c:pt>
                <c:pt idx="22">
                  <c:v>4599</c:v>
                </c:pt>
                <c:pt idx="23">
                  <c:v>4881</c:v>
                </c:pt>
              </c:numCache>
            </c:numRef>
          </c:xVal>
          <c:yVal>
            <c:numRef>
              <c:f>'1K Ohm'!$H$3:$H$26</c:f>
              <c:numCache>
                <c:formatCode>0.00000</c:formatCode>
                <c:ptCount val="24"/>
                <c:pt idx="0">
                  <c:v>1000.0115979055712</c:v>
                </c:pt>
                <c:pt idx="1">
                  <c:v>1000.0117671163093</c:v>
                </c:pt>
                <c:pt idx="2">
                  <c:v>1000.0119487299289</c:v>
                </c:pt>
                <c:pt idx="3">
                  <c:v>1000.0121392027494</c:v>
                </c:pt>
                <c:pt idx="4">
                  <c:v>1000.0123234741292</c:v>
                </c:pt>
                <c:pt idx="5">
                  <c:v>1000.0125157187898</c:v>
                </c:pt>
                <c:pt idx="6">
                  <c:v>1000.0127088493705</c:v>
                </c:pt>
                <c:pt idx="7">
                  <c:v>1000.0129701957986</c:v>
                </c:pt>
                <c:pt idx="8">
                  <c:v>1000.0132421732678</c:v>
                </c:pt>
                <c:pt idx="9">
                  <c:v>1000.0134237868873</c:v>
                </c:pt>
                <c:pt idx="10">
                  <c:v>1000.0136036286666</c:v>
                </c:pt>
                <c:pt idx="11">
                  <c:v>1000.0137870141264</c:v>
                </c:pt>
                <c:pt idx="12">
                  <c:v>1000.0138871230971</c:v>
                </c:pt>
                <c:pt idx="13">
                  <c:v>1000.0139145866201</c:v>
                </c:pt>
                <c:pt idx="14">
                  <c:v>1000.0139243317411</c:v>
                </c:pt>
                <c:pt idx="15">
                  <c:v>1000.0141165764018</c:v>
                </c:pt>
                <c:pt idx="16">
                  <c:v>1000.0144284202753</c:v>
                </c:pt>
                <c:pt idx="17">
                  <c:v>1000.014630410057</c:v>
                </c:pt>
                <c:pt idx="18">
                  <c:v>1000.0148155673569</c:v>
                </c:pt>
                <c:pt idx="19">
                  <c:v>1000.0150007246567</c:v>
                </c:pt>
                <c:pt idx="20">
                  <c:v>1000.0152133454795</c:v>
                </c:pt>
                <c:pt idx="21">
                  <c:v>1000.0154888666292</c:v>
                </c:pt>
                <c:pt idx="22">
                  <c:v>1000.0156722520888</c:v>
                </c:pt>
                <c:pt idx="23">
                  <c:v>1000.0159220815557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58-48E1-9BCA-E9788608D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'1K Ohm'!$C$3:$C$26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2584</c:v>
                </c:pt>
                <c:pt idx="13">
                  <c:v>2615</c:v>
                </c:pt>
                <c:pt idx="14">
                  <c:v>2626</c:v>
                </c:pt>
                <c:pt idx="15">
                  <c:v>2843</c:v>
                </c:pt>
                <c:pt idx="16">
                  <c:v>3195</c:v>
                </c:pt>
                <c:pt idx="17">
                  <c:v>3423</c:v>
                </c:pt>
                <c:pt idx="18">
                  <c:v>3632</c:v>
                </c:pt>
                <c:pt idx="19">
                  <c:v>3841</c:v>
                </c:pt>
                <c:pt idx="20">
                  <c:v>4081</c:v>
                </c:pt>
                <c:pt idx="21">
                  <c:v>4392</c:v>
                </c:pt>
                <c:pt idx="22">
                  <c:v>4599</c:v>
                </c:pt>
                <c:pt idx="23">
                  <c:v>4881</c:v>
                </c:pt>
              </c:numCache>
            </c:numRef>
          </c:xVal>
          <c:yVal>
            <c:numRef>
              <c:f>'1K Ohm'!$I$3:$I$26</c:f>
              <c:numCache>
                <c:formatCode>0.00000</c:formatCode>
                <c:ptCount val="24"/>
                <c:pt idx="0">
                  <c:v>1000.0108452002178</c:v>
                </c:pt>
                <c:pt idx="1">
                  <c:v>1000.0110208949837</c:v>
                </c:pt>
                <c:pt idx="2">
                  <c:v>1000.0112088906291</c:v>
                </c:pt>
                <c:pt idx="3">
                  <c:v>1000.0114053980703</c:v>
                </c:pt>
                <c:pt idx="4">
                  <c:v>1000.0115948502456</c:v>
                </c:pt>
                <c:pt idx="5">
                  <c:v>1000.0117917956675</c:v>
                </c:pt>
                <c:pt idx="6">
                  <c:v>1000.0119889105929</c:v>
                </c:pt>
                <c:pt idx="7">
                  <c:v>1000.0122544492204</c:v>
                </c:pt>
                <c:pt idx="8">
                  <c:v>1000.0125293012592</c:v>
                </c:pt>
                <c:pt idx="9">
                  <c:v>1000.012711979901</c:v>
                </c:pt>
                <c:pt idx="10">
                  <c:v>1000.0128921982354</c:v>
                </c:pt>
                <c:pt idx="11">
                  <c:v>1000.0130752717337</c:v>
                </c:pt>
                <c:pt idx="12">
                  <c:v>1000.0131749141416</c:v>
                </c:pt>
                <c:pt idx="13">
                  <c:v>1000.0132022131565</c:v>
                </c:pt>
                <c:pt idx="14">
                  <c:v>1000.0132118961288</c:v>
                </c:pt>
                <c:pt idx="15">
                  <c:v>1000.0134025114509</c:v>
                </c:pt>
                <c:pt idx="16">
                  <c:v>1000.0137100913809</c:v>
                </c:pt>
                <c:pt idx="17">
                  <c:v>1000.0139082634123</c:v>
                </c:pt>
                <c:pt idx="18">
                  <c:v>1000.0140892046661</c:v>
                </c:pt>
                <c:pt idx="19">
                  <c:v>1000.0142694727947</c:v>
                </c:pt>
                <c:pt idx="20">
                  <c:v>1000.01447566638</c:v>
                </c:pt>
                <c:pt idx="21">
                  <c:v>1000.0147416019662</c:v>
                </c:pt>
                <c:pt idx="22">
                  <c:v>1000.014917845081</c:v>
                </c:pt>
                <c:pt idx="23">
                  <c:v>1000.0151569993751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58-48E1-9BCA-E9788608DF2E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'1K Ohm'!$C$3:$C$26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2584</c:v>
                </c:pt>
                <c:pt idx="13">
                  <c:v>2615</c:v>
                </c:pt>
                <c:pt idx="14">
                  <c:v>2626</c:v>
                </c:pt>
                <c:pt idx="15">
                  <c:v>2843</c:v>
                </c:pt>
                <c:pt idx="16">
                  <c:v>3195</c:v>
                </c:pt>
                <c:pt idx="17">
                  <c:v>3423</c:v>
                </c:pt>
                <c:pt idx="18">
                  <c:v>3632</c:v>
                </c:pt>
                <c:pt idx="19">
                  <c:v>3841</c:v>
                </c:pt>
                <c:pt idx="20">
                  <c:v>4081</c:v>
                </c:pt>
                <c:pt idx="21">
                  <c:v>4392</c:v>
                </c:pt>
                <c:pt idx="22">
                  <c:v>4599</c:v>
                </c:pt>
                <c:pt idx="23">
                  <c:v>4881</c:v>
                </c:pt>
              </c:numCache>
            </c:numRef>
          </c:xVal>
          <c:yVal>
            <c:numRef>
              <c:f>'1K Ohm'!$J$3:$J$26</c:f>
              <c:numCache>
                <c:formatCode>0.00000</c:formatCode>
                <c:ptCount val="24"/>
                <c:pt idx="0">
                  <c:v>1000.0123506109246</c:v>
                </c:pt>
                <c:pt idx="1">
                  <c:v>1000.0125133376349</c:v>
                </c:pt>
                <c:pt idx="2">
                  <c:v>1000.0126885692288</c:v>
                </c:pt>
                <c:pt idx="3">
                  <c:v>1000.0128730074284</c:v>
                </c:pt>
                <c:pt idx="4">
                  <c:v>1000.0130520980127</c:v>
                </c:pt>
                <c:pt idx="5">
                  <c:v>1000.0132396419122</c:v>
                </c:pt>
                <c:pt idx="6">
                  <c:v>1000.0134287881481</c:v>
                </c:pt>
                <c:pt idx="7">
                  <c:v>1000.0136859423768</c:v>
                </c:pt>
                <c:pt idx="8">
                  <c:v>1000.0139550452765</c:v>
                </c:pt>
                <c:pt idx="9">
                  <c:v>1000.0141355938736</c:v>
                </c:pt>
                <c:pt idx="10">
                  <c:v>1000.0143150590978</c:v>
                </c:pt>
                <c:pt idx="11">
                  <c:v>1000.0144987565191</c:v>
                </c:pt>
                <c:pt idx="12">
                  <c:v>1000.0145993320526</c:v>
                </c:pt>
                <c:pt idx="13">
                  <c:v>1000.0146269600837</c:v>
                </c:pt>
                <c:pt idx="14">
                  <c:v>1000.0146367673534</c:v>
                </c:pt>
                <c:pt idx="15">
                  <c:v>1000.0148306413527</c:v>
                </c:pt>
                <c:pt idx="16">
                  <c:v>1000.0151467491697</c:v>
                </c:pt>
                <c:pt idx="17">
                  <c:v>1000.0153525567016</c:v>
                </c:pt>
                <c:pt idx="18">
                  <c:v>1000.0155419300477</c:v>
                </c:pt>
                <c:pt idx="19">
                  <c:v>1000.0157319765187</c:v>
                </c:pt>
                <c:pt idx="20">
                  <c:v>1000.0159510245791</c:v>
                </c:pt>
                <c:pt idx="21">
                  <c:v>1000.0162361312922</c:v>
                </c:pt>
                <c:pt idx="22">
                  <c:v>1000.0164266590967</c:v>
                </c:pt>
                <c:pt idx="23">
                  <c:v>1000.0166871637363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58-48E1-9BCA-E9788608D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PN010006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'1K Ohm'!$Q$3:$Q$16</c:f>
              <c:numCache>
                <c:formatCode>0</c:formatCode>
                <c:ptCount val="14"/>
                <c:pt idx="0">
                  <c:v>0</c:v>
                </c:pt>
                <c:pt idx="1">
                  <c:v>309</c:v>
                </c:pt>
                <c:pt idx="2">
                  <c:v>532</c:v>
                </c:pt>
                <c:pt idx="3">
                  <c:v>703</c:v>
                </c:pt>
                <c:pt idx="4">
                  <c:v>847</c:v>
                </c:pt>
                <c:pt idx="5">
                  <c:v>1192</c:v>
                </c:pt>
                <c:pt idx="6">
                  <c:v>1456</c:v>
                </c:pt>
                <c:pt idx="7">
                  <c:v>1674</c:v>
                </c:pt>
                <c:pt idx="8">
                  <c:v>1883</c:v>
                </c:pt>
                <c:pt idx="9">
                  <c:v>2114</c:v>
                </c:pt>
                <c:pt idx="10">
                  <c:v>2334</c:v>
                </c:pt>
                <c:pt idx="11">
                  <c:v>2589</c:v>
                </c:pt>
                <c:pt idx="12">
                  <c:v>2862</c:v>
                </c:pt>
                <c:pt idx="13">
                  <c:v>3157</c:v>
                </c:pt>
              </c:numCache>
            </c:numRef>
          </c:xVal>
          <c:yVal>
            <c:numRef>
              <c:f>'1K Ohm'!$T$3:$T$16</c:f>
              <c:numCache>
                <c:formatCode>0.00000</c:formatCode>
                <c:ptCount val="14"/>
                <c:pt idx="0">
                  <c:v>1000.0067</c:v>
                </c:pt>
                <c:pt idx="1">
                  <c:v>1000.00735</c:v>
                </c:pt>
                <c:pt idx="2">
                  <c:v>1000.0090300000001</c:v>
                </c:pt>
                <c:pt idx="3">
                  <c:v>1000.0019</c:v>
                </c:pt>
                <c:pt idx="4">
                  <c:v>1000.00959</c:v>
                </c:pt>
                <c:pt idx="5">
                  <c:v>1000.00989</c:v>
                </c:pt>
                <c:pt idx="6">
                  <c:v>1000.00932</c:v>
                </c:pt>
                <c:pt idx="7">
                  <c:v>1000.00997</c:v>
                </c:pt>
                <c:pt idx="8">
                  <c:v>1000.01024</c:v>
                </c:pt>
                <c:pt idx="9">
                  <c:v>1000.01053</c:v>
                </c:pt>
                <c:pt idx="10">
                  <c:v>1000.0108300000001</c:v>
                </c:pt>
                <c:pt idx="11">
                  <c:v>1000.01072</c:v>
                </c:pt>
                <c:pt idx="12">
                  <c:v>1000.0106</c:v>
                </c:pt>
                <c:pt idx="13">
                  <c:v>1000.0113700000001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8-4B0C-B755-484EA2CC4E2B}"/>
            </c:ext>
          </c:extLst>
        </c:ser>
        <c:ser>
          <c:idx val="1"/>
          <c:order val="1"/>
          <c:tx>
            <c:strRef>
              <c:f>'1K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'1K Ohm'!$Q$3:$Q$16</c:f>
              <c:numCache>
                <c:formatCode>0</c:formatCode>
                <c:ptCount val="14"/>
                <c:pt idx="0">
                  <c:v>0</c:v>
                </c:pt>
                <c:pt idx="1">
                  <c:v>309</c:v>
                </c:pt>
                <c:pt idx="2">
                  <c:v>532</c:v>
                </c:pt>
                <c:pt idx="3">
                  <c:v>703</c:v>
                </c:pt>
                <c:pt idx="4">
                  <c:v>847</c:v>
                </c:pt>
                <c:pt idx="5">
                  <c:v>1192</c:v>
                </c:pt>
                <c:pt idx="6">
                  <c:v>1456</c:v>
                </c:pt>
                <c:pt idx="7">
                  <c:v>1674</c:v>
                </c:pt>
                <c:pt idx="8">
                  <c:v>1883</c:v>
                </c:pt>
                <c:pt idx="9">
                  <c:v>2114</c:v>
                </c:pt>
                <c:pt idx="10">
                  <c:v>2334</c:v>
                </c:pt>
                <c:pt idx="11">
                  <c:v>2589</c:v>
                </c:pt>
                <c:pt idx="12">
                  <c:v>2862</c:v>
                </c:pt>
                <c:pt idx="13">
                  <c:v>3157</c:v>
                </c:pt>
              </c:numCache>
            </c:numRef>
          </c:xVal>
          <c:yVal>
            <c:numRef>
              <c:f>'1K Ohm'!$V$3:$V$16</c:f>
              <c:numCache>
                <c:formatCode>0.00000</c:formatCode>
                <c:ptCount val="14"/>
                <c:pt idx="0">
                  <c:v>1000.0064780298035</c:v>
                </c:pt>
                <c:pt idx="1">
                  <c:v>1000.0070202728032</c:v>
                </c:pt>
                <c:pt idx="2">
                  <c:v>1000.0074116002754</c:v>
                </c:pt>
                <c:pt idx="3">
                  <c:v>1000.0077116764986</c:v>
                </c:pt>
                <c:pt idx="4">
                  <c:v>1000.0079643722654</c:v>
                </c:pt>
                <c:pt idx="5">
                  <c:v>1000.0085697892068</c:v>
                </c:pt>
                <c:pt idx="6">
                  <c:v>1000.0090330647794</c:v>
                </c:pt>
                <c:pt idx="7">
                  <c:v>1000.009415618093</c:v>
                </c:pt>
                <c:pt idx="8">
                  <c:v>1000.0097823779214</c:v>
                </c:pt>
                <c:pt idx="9">
                  <c:v>1000.0101877440474</c:v>
                </c:pt>
                <c:pt idx="10">
                  <c:v>1000.0105738070245</c:v>
                </c:pt>
                <c:pt idx="11">
                  <c:v>1000.0110212891116</c:v>
                </c:pt>
                <c:pt idx="12">
                  <c:v>1000.0115003581695</c:v>
                </c:pt>
                <c:pt idx="13">
                  <c:v>1000.0120180335252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68-4B0C-B755-484EA2CC4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'1K Ohm'!$Q$3:$Q$16</c:f>
              <c:numCache>
                <c:formatCode>0</c:formatCode>
                <c:ptCount val="14"/>
                <c:pt idx="0">
                  <c:v>0</c:v>
                </c:pt>
                <c:pt idx="1">
                  <c:v>309</c:v>
                </c:pt>
                <c:pt idx="2">
                  <c:v>532</c:v>
                </c:pt>
                <c:pt idx="3">
                  <c:v>703</c:v>
                </c:pt>
                <c:pt idx="4">
                  <c:v>847</c:v>
                </c:pt>
                <c:pt idx="5">
                  <c:v>1192</c:v>
                </c:pt>
                <c:pt idx="6">
                  <c:v>1456</c:v>
                </c:pt>
                <c:pt idx="7">
                  <c:v>1674</c:v>
                </c:pt>
                <c:pt idx="8">
                  <c:v>1883</c:v>
                </c:pt>
                <c:pt idx="9">
                  <c:v>2114</c:v>
                </c:pt>
                <c:pt idx="10">
                  <c:v>2334</c:v>
                </c:pt>
                <c:pt idx="11">
                  <c:v>2589</c:v>
                </c:pt>
                <c:pt idx="12">
                  <c:v>2862</c:v>
                </c:pt>
                <c:pt idx="13">
                  <c:v>3157</c:v>
                </c:pt>
              </c:numCache>
            </c:numRef>
          </c:xVal>
          <c:yVal>
            <c:numRef>
              <c:f>'1K Ohm'!$W$3:$W$16</c:f>
              <c:numCache>
                <c:formatCode>0.00000</c:formatCode>
                <c:ptCount val="14"/>
                <c:pt idx="0">
                  <c:v>1000.0009889861963</c:v>
                </c:pt>
                <c:pt idx="1">
                  <c:v>1000.0015415567455</c:v>
                </c:pt>
                <c:pt idx="2">
                  <c:v>1000.0019101660058</c:v>
                </c:pt>
                <c:pt idx="3">
                  <c:v>1000.002175870515</c:v>
                </c:pt>
                <c:pt idx="4">
                  <c:v>1000.0023884196758</c:v>
                </c:pt>
                <c:pt idx="5">
                  <c:v>1000.0028574343104</c:v>
                </c:pt>
                <c:pt idx="6">
                  <c:v>1000.0031800246335</c:v>
                </c:pt>
                <c:pt idx="7">
                  <c:v>1000.0034243751348</c:v>
                </c:pt>
                <c:pt idx="8">
                  <c:v>1000.0036412489646</c:v>
                </c:pt>
                <c:pt idx="9">
                  <c:v>1000.0038626272357</c:v>
                </c:pt>
                <c:pt idx="10">
                  <c:v>1000.0040570201832</c:v>
                </c:pt>
                <c:pt idx="11">
                  <c:v>1000.0042640966918</c:v>
                </c:pt>
                <c:pt idx="12">
                  <c:v>1000.0044662662103</c:v>
                </c:pt>
                <c:pt idx="13">
                  <c:v>1000.0046646147941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68-4B0C-B755-484EA2CC4E2B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'1K Ohm'!$Q$3:$Q$16</c:f>
              <c:numCache>
                <c:formatCode>0</c:formatCode>
                <c:ptCount val="14"/>
                <c:pt idx="0">
                  <c:v>0</c:v>
                </c:pt>
                <c:pt idx="1">
                  <c:v>309</c:v>
                </c:pt>
                <c:pt idx="2">
                  <c:v>532</c:v>
                </c:pt>
                <c:pt idx="3">
                  <c:v>703</c:v>
                </c:pt>
                <c:pt idx="4">
                  <c:v>847</c:v>
                </c:pt>
                <c:pt idx="5">
                  <c:v>1192</c:v>
                </c:pt>
                <c:pt idx="6">
                  <c:v>1456</c:v>
                </c:pt>
                <c:pt idx="7">
                  <c:v>1674</c:v>
                </c:pt>
                <c:pt idx="8">
                  <c:v>1883</c:v>
                </c:pt>
                <c:pt idx="9">
                  <c:v>2114</c:v>
                </c:pt>
                <c:pt idx="10">
                  <c:v>2334</c:v>
                </c:pt>
                <c:pt idx="11">
                  <c:v>2589</c:v>
                </c:pt>
                <c:pt idx="12">
                  <c:v>2862</c:v>
                </c:pt>
                <c:pt idx="13">
                  <c:v>3157</c:v>
                </c:pt>
              </c:numCache>
            </c:numRef>
          </c:xVal>
          <c:yVal>
            <c:numRef>
              <c:f>'1K Ohm'!$X$3:$X$16</c:f>
              <c:numCache>
                <c:formatCode>0.00000</c:formatCode>
                <c:ptCount val="14"/>
                <c:pt idx="0">
                  <c:v>1000.0119670734107</c:v>
                </c:pt>
                <c:pt idx="1">
                  <c:v>1000.0124989888609</c:v>
                </c:pt>
                <c:pt idx="2">
                  <c:v>1000.012913034545</c:v>
                </c:pt>
                <c:pt idx="3">
                  <c:v>1000.0132474824823</c:v>
                </c:pt>
                <c:pt idx="4">
                  <c:v>1000.0135403248551</c:v>
                </c:pt>
                <c:pt idx="5">
                  <c:v>1000.0142821441033</c:v>
                </c:pt>
                <c:pt idx="6">
                  <c:v>1000.0148861049253</c:v>
                </c:pt>
                <c:pt idx="7">
                  <c:v>1000.0154068610512</c:v>
                </c:pt>
                <c:pt idx="8">
                  <c:v>1000.0159235068782</c:v>
                </c:pt>
                <c:pt idx="9">
                  <c:v>1000.0165128608591</c:v>
                </c:pt>
                <c:pt idx="10">
                  <c:v>1000.0170905938658</c:v>
                </c:pt>
                <c:pt idx="11">
                  <c:v>1000.0177784815313</c:v>
                </c:pt>
                <c:pt idx="12">
                  <c:v>1000.0185344501288</c:v>
                </c:pt>
                <c:pt idx="13">
                  <c:v>1000.0193714522563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68-4B0C-B755-484EA2CC4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61582</xdr:colOff>
      <xdr:row>28</xdr:row>
      <xdr:rowOff>83980</xdr:rowOff>
    </xdr:from>
    <xdr:to>
      <xdr:col>9</xdr:col>
      <xdr:colOff>344643</xdr:colOff>
      <xdr:row>49</xdr:row>
      <xdr:rowOff>50362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E005C-ED32-4095-8A64-693B79909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319367</xdr:colOff>
      <xdr:row>29</xdr:row>
      <xdr:rowOff>28575</xdr:rowOff>
    </xdr:from>
    <xdr:to>
      <xdr:col>21</xdr:col>
      <xdr:colOff>423694</xdr:colOff>
      <xdr:row>49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7B073-2DAD-44EB-9E49-A96589E55C04}"/>
            </a:ext>
            <a:ext uri="{147F2762-F138-4A5C-976F-8EAC2B608ADB}">
              <a16:predDERef xmlns:a16="http://schemas.microsoft.com/office/drawing/2014/main" pred="{D06E005C-ED32-4095-8A64-693B79909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38B3-181A-405B-8940-C935F5192C7E}">
  <sheetPr>
    <tabColor theme="9" tint="0.39997558519241921"/>
  </sheetPr>
  <dimension ref="A1:X1048576"/>
  <sheetViews>
    <sheetView tabSelected="1" zoomScaleNormal="100" workbookViewId="0">
      <selection activeCell="M26" sqref="M26"/>
    </sheetView>
  </sheetViews>
  <sheetFormatPr defaultColWidth="8.81640625" defaultRowHeight="11.5" x14ac:dyDescent="0.35"/>
  <cols>
    <col min="1" max="1" width="11" style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2.453125" style="1" bestFit="1" customWidth="1"/>
    <col min="7" max="7" width="8.26953125" style="1" bestFit="1" customWidth="1"/>
    <col min="8" max="10" width="13.54296875" style="1" bestFit="1" customWidth="1"/>
    <col min="11" max="11" width="1" style="1" customWidth="1"/>
    <col min="12" max="12" width="11.54296875" style="1" bestFit="1" customWidth="1"/>
    <col min="13" max="13" width="12" style="1" bestFit="1" customWidth="1"/>
    <col min="14" max="14" width="1" style="1" customWidth="1"/>
    <col min="15" max="15" width="10.54296875" style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19" width="11.453125" style="1" bestFit="1" customWidth="1"/>
    <col min="20" max="20" width="11.453125" style="1" customWidth="1"/>
    <col min="21" max="21" width="8.26953125" style="1" bestFit="1" customWidth="1"/>
    <col min="22" max="22" width="13.54296875" style="1" bestFit="1" customWidth="1"/>
    <col min="23" max="23" width="11.453125" style="1" bestFit="1" customWidth="1"/>
    <col min="24" max="24" width="12.453125" style="1" bestFit="1" customWidth="1"/>
    <col min="25" max="16384" width="8.81640625" style="1"/>
  </cols>
  <sheetData>
    <row r="1" spans="1:24" ht="12" x14ac:dyDescent="0.35">
      <c r="A1" s="11"/>
      <c r="B1" s="9" t="s">
        <v>0</v>
      </c>
      <c r="C1" s="18" t="s">
        <v>1</v>
      </c>
      <c r="D1" s="20">
        <v>7601005</v>
      </c>
      <c r="E1" s="11"/>
      <c r="F1" s="11"/>
      <c r="G1" s="11"/>
      <c r="H1" s="21" t="s">
        <v>2</v>
      </c>
      <c r="I1" s="22"/>
      <c r="J1" s="22"/>
      <c r="K1" s="13"/>
      <c r="L1" s="23" t="s">
        <v>3</v>
      </c>
      <c r="M1" s="23"/>
      <c r="N1" s="13"/>
      <c r="O1" s="11"/>
      <c r="P1" s="9" t="s">
        <v>0</v>
      </c>
      <c r="Q1" s="18" t="s">
        <v>4</v>
      </c>
      <c r="R1" s="18">
        <v>7601001</v>
      </c>
      <c r="S1" s="11"/>
      <c r="T1" s="11"/>
      <c r="U1" s="11"/>
      <c r="V1" s="21" t="s">
        <v>2</v>
      </c>
      <c r="W1" s="22"/>
      <c r="X1" s="22"/>
    </row>
    <row r="2" spans="1:24" ht="13.15" customHeight="1" x14ac:dyDescent="0.3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20</v>
      </c>
      <c r="G2" s="9" t="s">
        <v>10</v>
      </c>
      <c r="H2" s="12" t="s">
        <v>11</v>
      </c>
      <c r="I2" s="12" t="s">
        <v>12</v>
      </c>
      <c r="J2" s="12" t="s">
        <v>13</v>
      </c>
      <c r="K2" s="13"/>
      <c r="L2" s="14" t="s">
        <v>14</v>
      </c>
      <c r="M2" s="15">
        <f>COUNTA($F:$F)-2</f>
        <v>23</v>
      </c>
      <c r="N2" s="13"/>
      <c r="O2" s="9" t="s">
        <v>5</v>
      </c>
      <c r="P2" s="9" t="s">
        <v>6</v>
      </c>
      <c r="Q2" s="9" t="s">
        <v>7</v>
      </c>
      <c r="R2" s="9" t="s">
        <v>8</v>
      </c>
      <c r="S2" s="9" t="s">
        <v>9</v>
      </c>
      <c r="T2" s="10" t="s">
        <v>20</v>
      </c>
      <c r="U2" s="9" t="s">
        <v>10</v>
      </c>
      <c r="V2" s="12" t="s">
        <v>11</v>
      </c>
      <c r="W2" s="12" t="s">
        <v>12</v>
      </c>
      <c r="X2" s="12" t="s">
        <v>13</v>
      </c>
    </row>
    <row r="3" spans="1:24" x14ac:dyDescent="0.35">
      <c r="A3" s="7">
        <v>41127</v>
      </c>
      <c r="B3" s="3">
        <v>0</v>
      </c>
      <c r="C3" s="3">
        <v>0</v>
      </c>
      <c r="D3" s="6">
        <f t="shared" ref="D3:D23" si="0">(F3-1000)/1000*1000000</f>
        <v>11.399999999980537</v>
      </c>
      <c r="E3" s="6"/>
      <c r="F3" s="2">
        <v>1000.0114</v>
      </c>
      <c r="G3" s="4">
        <v>1E-3</v>
      </c>
      <c r="H3" s="19">
        <f t="shared" ref="H3:H26" ca="1" si="1">_xlfn.FORECAST.LINEAR($C3,Known_ys_PN010007,Known_xs_PN010007)</f>
        <v>1000.0115979055712</v>
      </c>
      <c r="I3" s="19">
        <f t="shared" ref="I3:I26" ca="1" si="2">$H3-ABS(_xlfn.T.INV(0.025,df_PN010007))*(Syx_PN010007*SQRT(1+1/n_PN010007+($C3-XBar_PN010007)^2/SSx_PN010007))</f>
        <v>1000.0108452002178</v>
      </c>
      <c r="J3" s="19">
        <f t="shared" ref="J3:J26" ca="1" si="3">$H3+ABS(_xlfn.T.INV(0.025,df_PN010007))*(Syx_PN010007*SQRT(1+1/n_PN010007+($C3-XBar_PN010007)^2/SSx_PN010007))</f>
        <v>1000.0123506109246</v>
      </c>
      <c r="K3" s="13"/>
      <c r="L3" s="14" t="s">
        <v>15</v>
      </c>
      <c r="M3" s="15">
        <f>n_PN010007-2</f>
        <v>21</v>
      </c>
      <c r="N3" s="13"/>
      <c r="O3" s="7">
        <v>42983</v>
      </c>
      <c r="P3" s="3">
        <v>0</v>
      </c>
      <c r="Q3" s="3">
        <v>0</v>
      </c>
      <c r="R3" s="6">
        <f t="shared" ref="R3:R12" si="4">(T3-1000)/1000*1000000</f>
        <v>6.700000000023465</v>
      </c>
      <c r="S3" s="6"/>
      <c r="T3" s="2">
        <f>1000+((6.7*1000)/1000000)</f>
        <v>1000.0067</v>
      </c>
      <c r="U3" s="4">
        <v>4.7100000000000001E-4</v>
      </c>
      <c r="V3" s="19">
        <f t="shared" ref="V3:V16" ca="1" si="5">_xlfn.FORECAST.LINEAR($Q3,Known_ys_PN010006,Known_xs_PN010006)</f>
        <v>1000.0064780298035</v>
      </c>
      <c r="W3" s="19">
        <f t="shared" ref="W3:W16" ca="1" si="6">$V3-ABS(_xlfn.T.INV(0.025,df_PN010006))*(Syx_PN010006*SQRT(1+1/n_PN010006+($Q3-XBar_PN010006)^2/SSx_PN010006))</f>
        <v>1000.0009889861963</v>
      </c>
      <c r="X3" s="19" cm="1">
        <f t="array" aca="1" ref="X3" ca="1">$V3+ABS(_xlfn.T.INV(0.025,df_PN010006))*(Syx_PN010006*SQRT(1+1/n_PN010006+($Q3-XBar_PN010006)^2/SSx_PN010006))</f>
        <v>1000.0119670734107</v>
      </c>
    </row>
    <row r="4" spans="1:24" x14ac:dyDescent="0.35">
      <c r="A4" s="7">
        <v>41318</v>
      </c>
      <c r="B4" s="3">
        <f t="shared" ref="B4:B23" si="7">A4-A3</f>
        <v>191</v>
      </c>
      <c r="C4" s="3">
        <f>SUM(B$4:B4)</f>
        <v>191</v>
      </c>
      <c r="D4" s="6">
        <f t="shared" si="0"/>
        <v>12.299999999981992</v>
      </c>
      <c r="E4" s="5">
        <f t="shared" ref="E4:E23" si="8">D4-D3</f>
        <v>0.90000000000145519</v>
      </c>
      <c r="F4" s="2">
        <v>1000.0123</v>
      </c>
      <c r="G4" s="4">
        <v>1E-3</v>
      </c>
      <c r="H4" s="19">
        <f t="shared" ca="1" si="1"/>
        <v>1000.0117671163093</v>
      </c>
      <c r="I4" s="19">
        <f t="shared" ca="1" si="2"/>
        <v>1000.0110208949837</v>
      </c>
      <c r="J4" s="19">
        <f t="shared" ca="1" si="3"/>
        <v>1000.0125133376349</v>
      </c>
      <c r="K4" s="13"/>
      <c r="L4" s="14" t="s">
        <v>16</v>
      </c>
      <c r="M4" s="16">
        <f ca="1">AVERAGE(OFFSET($C$3,,,COUNTA($C:$C)-3))</f>
        <v>2275.608695652174</v>
      </c>
      <c r="N4" s="13"/>
      <c r="O4" s="7">
        <v>43292</v>
      </c>
      <c r="P4" s="3">
        <f t="shared" ref="P4:P13" si="9">O4-O3</f>
        <v>309</v>
      </c>
      <c r="Q4" s="3">
        <f>SUM(P$4:P4)</f>
        <v>309</v>
      </c>
      <c r="R4" s="6">
        <f t="shared" si="4"/>
        <v>7.3499999999739885</v>
      </c>
      <c r="S4" s="5">
        <f t="shared" ref="S4:S13" si="10">R4-R3</f>
        <v>0.64999999995052349</v>
      </c>
      <c r="T4" s="2">
        <v>1000.00735</v>
      </c>
      <c r="U4" s="4">
        <v>4.4000000000000002E-4</v>
      </c>
      <c r="V4" s="19">
        <f t="shared" ca="1" si="5"/>
        <v>1000.0070202728032</v>
      </c>
      <c r="W4" s="19">
        <f t="shared" ca="1" si="6"/>
        <v>1000.0015415567455</v>
      </c>
      <c r="X4" s="19" cm="1">
        <f t="array" aca="1" ref="X4" ca="1">$V4+ABS(_xlfn.T.INV(0.025,df_PN010006))*(Syx_PN010006*SQRT(1+1/n_PN010006+($Q4-XBar_PN010006)^2/SSx_PN010006))</f>
        <v>1000.0124989888609</v>
      </c>
    </row>
    <row r="5" spans="1:24" x14ac:dyDescent="0.35">
      <c r="A5" s="7">
        <v>41523</v>
      </c>
      <c r="B5" s="3">
        <f t="shared" si="7"/>
        <v>205</v>
      </c>
      <c r="C5" s="3">
        <f>SUM(B$4:B5)</f>
        <v>396</v>
      </c>
      <c r="D5" s="6">
        <f t="shared" si="0"/>
        <v>11.949999999956162</v>
      </c>
      <c r="E5" s="5">
        <f t="shared" si="8"/>
        <v>-0.35000000002582965</v>
      </c>
      <c r="F5" s="2">
        <v>1000.01195</v>
      </c>
      <c r="G5" s="4">
        <v>1E-3</v>
      </c>
      <c r="H5" s="19">
        <f t="shared" ca="1" si="1"/>
        <v>1000.0119487299289</v>
      </c>
      <c r="I5" s="19">
        <f t="shared" ca="1" si="2"/>
        <v>1000.0112088906291</v>
      </c>
      <c r="J5" s="19">
        <f t="shared" ca="1" si="3"/>
        <v>1000.0126885692288</v>
      </c>
      <c r="K5" s="13"/>
      <c r="L5" s="14" t="s">
        <v>17</v>
      </c>
      <c r="M5" s="16">
        <f ca="1">STEYX(OFFSET($F$3,,,n_PN010007),OFFSET($C$3,,,n_PN010007))</f>
        <v>3.3489399515410599E-4</v>
      </c>
      <c r="N5" s="13"/>
      <c r="O5" s="7">
        <v>43515</v>
      </c>
      <c r="P5" s="3">
        <f t="shared" si="9"/>
        <v>223</v>
      </c>
      <c r="Q5" s="3">
        <f>SUM(P$4:P5)</f>
        <v>532</v>
      </c>
      <c r="R5" s="6">
        <f t="shared" si="4"/>
        <v>9.030000000052496</v>
      </c>
      <c r="S5" s="5">
        <f t="shared" si="10"/>
        <v>1.6800000000785076</v>
      </c>
      <c r="T5" s="2">
        <v>1000.0090300000001</v>
      </c>
      <c r="U5" s="4">
        <v>5.0000000000000001E-4</v>
      </c>
      <c r="V5" s="19">
        <f t="shared" ca="1" si="5"/>
        <v>1000.0074116002754</v>
      </c>
      <c r="W5" s="19">
        <f t="shared" ca="1" si="6"/>
        <v>1000.0019101660058</v>
      </c>
      <c r="X5" s="19" cm="1">
        <f t="array" aca="1" ref="X5" ca="1">$V5+ABS(_xlfn.T.INV(0.025,df_PN010006))*(Syx_PN010006*SQRT(1+1/n_PN010006+($Q5-XBar_PN010006)^2/SSx_PN010006))</f>
        <v>1000.012913034545</v>
      </c>
    </row>
    <row r="6" spans="1:24" x14ac:dyDescent="0.35">
      <c r="A6" s="7">
        <v>41738</v>
      </c>
      <c r="B6" s="3">
        <f t="shared" si="7"/>
        <v>215</v>
      </c>
      <c r="C6" s="3">
        <f>SUM(B$4:B6)</f>
        <v>611</v>
      </c>
      <c r="D6" s="6">
        <f t="shared" si="0"/>
        <v>12.200000000007094</v>
      </c>
      <c r="E6" s="5">
        <f t="shared" si="8"/>
        <v>0.2500000000509317</v>
      </c>
      <c r="F6" s="2">
        <v>1000.0122</v>
      </c>
      <c r="G6" s="4">
        <v>5.9999999999999995E-4</v>
      </c>
      <c r="H6" s="19">
        <f t="shared" ca="1" si="1"/>
        <v>1000.0121392027494</v>
      </c>
      <c r="I6" s="19">
        <f t="shared" ca="1" si="2"/>
        <v>1000.0114053980703</v>
      </c>
      <c r="J6" s="19">
        <f t="shared" ca="1" si="3"/>
        <v>1000.0128730074284</v>
      </c>
      <c r="K6" s="13"/>
      <c r="L6" s="14" t="s">
        <v>18</v>
      </c>
      <c r="M6" s="16">
        <f ca="1">DEVSQ(OFFSET($C$3,,,n_PN010007))</f>
        <v>41561993.478260875</v>
      </c>
      <c r="N6" s="13"/>
      <c r="O6" s="7">
        <v>43686</v>
      </c>
      <c r="P6" s="3">
        <f t="shared" si="9"/>
        <v>171</v>
      </c>
      <c r="Q6" s="3">
        <f>SUM(P$4:P6)</f>
        <v>703</v>
      </c>
      <c r="R6" s="6">
        <f t="shared" si="4"/>
        <v>1.8999999999778083</v>
      </c>
      <c r="S6" s="5">
        <f t="shared" si="10"/>
        <v>-7.1300000000746877</v>
      </c>
      <c r="T6" s="2">
        <v>1000.0019</v>
      </c>
      <c r="U6" s="4">
        <v>4.4000000000000002E-4</v>
      </c>
      <c r="V6" s="19">
        <f t="shared" ca="1" si="5"/>
        <v>1000.0077116764986</v>
      </c>
      <c r="W6" s="19">
        <f t="shared" ca="1" si="6"/>
        <v>1000.002175870515</v>
      </c>
      <c r="X6" s="19" cm="1">
        <f t="array" aca="1" ref="X6" ca="1">$V6+ABS(_xlfn.T.INV(0.025,df_PN010006))*(Syx_PN010006*SQRT(1+1/n_PN010006+($Q6-XBar_PN010006)^2/SSx_PN010006))</f>
        <v>1000.0132474824823</v>
      </c>
    </row>
    <row r="7" spans="1:24" x14ac:dyDescent="0.35">
      <c r="A7" s="7">
        <v>41946</v>
      </c>
      <c r="B7" s="3">
        <f t="shared" si="7"/>
        <v>208</v>
      </c>
      <c r="C7" s="3">
        <f>SUM(B$4:B7)</f>
        <v>819</v>
      </c>
      <c r="D7" s="6">
        <f t="shared" si="0"/>
        <v>12.500000000045475</v>
      </c>
      <c r="E7" s="5">
        <f t="shared" si="8"/>
        <v>0.30000000003838068</v>
      </c>
      <c r="F7" s="2">
        <v>1000.0125</v>
      </c>
      <c r="G7" s="4">
        <v>4.7100000000000001E-4</v>
      </c>
      <c r="H7" s="19">
        <f t="shared" ca="1" si="1"/>
        <v>1000.0123234741292</v>
      </c>
      <c r="I7" s="19">
        <f t="shared" ca="1" si="2"/>
        <v>1000.0115948502456</v>
      </c>
      <c r="J7" s="19">
        <f t="shared" ca="1" si="3"/>
        <v>1000.0130520980127</v>
      </c>
      <c r="K7" s="13"/>
      <c r="L7" s="13"/>
      <c r="M7" s="13"/>
      <c r="N7" s="13"/>
      <c r="O7" s="7">
        <v>43830</v>
      </c>
      <c r="P7" s="3">
        <f t="shared" si="9"/>
        <v>144</v>
      </c>
      <c r="Q7" s="3">
        <f>SUM(P$4:P7)</f>
        <v>847</v>
      </c>
      <c r="R7" s="6">
        <f t="shared" si="4"/>
        <v>9.590000000002874</v>
      </c>
      <c r="S7" s="5">
        <f t="shared" si="10"/>
        <v>7.6900000000250657</v>
      </c>
      <c r="T7" s="2">
        <v>1000.00959</v>
      </c>
      <c r="U7" s="4">
        <v>4.4000000000000002E-4</v>
      </c>
      <c r="V7" s="19">
        <f t="shared" ca="1" si="5"/>
        <v>1000.0079643722654</v>
      </c>
      <c r="W7" s="19">
        <f t="shared" ca="1" si="6"/>
        <v>1000.0023884196758</v>
      </c>
      <c r="X7" s="19" cm="1">
        <f t="array" aca="1" ref="X7" ca="1">$V7+ABS(_xlfn.T.INV(0.025,df_PN010006))*(Syx_PN010006*SQRT(1+1/n_PN010006+($Q7-XBar_PN010006)^2/SSx_PN010006))</f>
        <v>1000.0135403248551</v>
      </c>
    </row>
    <row r="8" spans="1:24" ht="12" x14ac:dyDescent="0.35">
      <c r="A8" s="7">
        <v>42163</v>
      </c>
      <c r="B8" s="3">
        <f t="shared" si="7"/>
        <v>217</v>
      </c>
      <c r="C8" s="3">
        <f>SUM(B$4:B8)</f>
        <v>1036</v>
      </c>
      <c r="D8" s="6">
        <f t="shared" si="0"/>
        <v>12.39999999995689</v>
      </c>
      <c r="E8" s="5">
        <f t="shared" si="8"/>
        <v>-0.10000000008858478</v>
      </c>
      <c r="F8" s="2">
        <v>1000.0124</v>
      </c>
      <c r="G8" s="4">
        <v>4.7100000000000001E-4</v>
      </c>
      <c r="H8" s="19">
        <f t="shared" ca="1" si="1"/>
        <v>1000.0125157187898</v>
      </c>
      <c r="I8" s="19">
        <f t="shared" ca="1" si="2"/>
        <v>1000.0117917956675</v>
      </c>
      <c r="J8" s="19">
        <f t="shared" ca="1" si="3"/>
        <v>1000.0132396419122</v>
      </c>
      <c r="K8" s="13"/>
      <c r="L8" s="23" t="s">
        <v>19</v>
      </c>
      <c r="M8" s="23"/>
      <c r="N8" s="13"/>
      <c r="O8" s="7">
        <v>44175</v>
      </c>
      <c r="P8" s="3">
        <f t="shared" si="9"/>
        <v>345</v>
      </c>
      <c r="Q8" s="3">
        <f>SUM(P$4:P8)</f>
        <v>1192</v>
      </c>
      <c r="R8" s="6">
        <f t="shared" si="4"/>
        <v>9.8900000000412547</v>
      </c>
      <c r="S8" s="5">
        <f t="shared" si="10"/>
        <v>0.30000000003838068</v>
      </c>
      <c r="T8" s="2">
        <v>1000.00989</v>
      </c>
      <c r="U8" s="4">
        <v>4.4000000000000002E-4</v>
      </c>
      <c r="V8" s="19">
        <f t="shared" ca="1" si="5"/>
        <v>1000.0085697892068</v>
      </c>
      <c r="W8" s="19">
        <f t="shared" ca="1" si="6"/>
        <v>1000.0028574343104</v>
      </c>
      <c r="X8" s="19" cm="1">
        <f t="array" aca="1" ref="X8" ca="1">$V8+ABS(_xlfn.T.INV(0.025,df_PN010006))*(Syx_PN010006*SQRT(1+1/n_PN010006+($Q8-XBar_PN010006)^2/SSx_PN010006))</f>
        <v>1000.0142821441033</v>
      </c>
    </row>
    <row r="9" spans="1:24" x14ac:dyDescent="0.35">
      <c r="A9" s="7">
        <v>42381</v>
      </c>
      <c r="B9" s="3">
        <f t="shared" si="7"/>
        <v>218</v>
      </c>
      <c r="C9" s="3">
        <f>SUM(B$4:B9)</f>
        <v>1254</v>
      </c>
      <c r="D9" s="6">
        <f t="shared" si="0"/>
        <v>12.699999999995271</v>
      </c>
      <c r="E9" s="5">
        <f t="shared" si="8"/>
        <v>0.30000000003838068</v>
      </c>
      <c r="F9" s="2">
        <v>1000.0127</v>
      </c>
      <c r="G9" s="4">
        <v>4.7100000000000001E-4</v>
      </c>
      <c r="H9" s="19">
        <f t="shared" ca="1" si="1"/>
        <v>1000.0127088493705</v>
      </c>
      <c r="I9" s="19">
        <f t="shared" ca="1" si="2"/>
        <v>1000.0119889105929</v>
      </c>
      <c r="J9" s="19">
        <f t="shared" ca="1" si="3"/>
        <v>1000.0134287881481</v>
      </c>
      <c r="K9" s="13"/>
      <c r="L9" s="14" t="s">
        <v>14</v>
      </c>
      <c r="M9" s="15">
        <f>COUNTA($T:$T)-2</f>
        <v>13</v>
      </c>
      <c r="N9" s="13"/>
      <c r="O9" s="7">
        <v>44439</v>
      </c>
      <c r="P9" s="3">
        <f t="shared" si="9"/>
        <v>264</v>
      </c>
      <c r="Q9" s="3">
        <f>SUM(P$4:P9)</f>
        <v>1456</v>
      </c>
      <c r="R9" s="6">
        <f t="shared" si="4"/>
        <v>9.3200000000024374</v>
      </c>
      <c r="S9" s="5">
        <f t="shared" si="10"/>
        <v>-0.57000000003881723</v>
      </c>
      <c r="T9" s="2">
        <v>1000.00932</v>
      </c>
      <c r="U9" s="4">
        <v>4.4000000000000002E-4</v>
      </c>
      <c r="V9" s="19">
        <f t="shared" ca="1" si="5"/>
        <v>1000.0090330647794</v>
      </c>
      <c r="W9" s="19">
        <f t="shared" ca="1" si="6"/>
        <v>1000.0031800246335</v>
      </c>
      <c r="X9" s="19" cm="1">
        <f t="array" aca="1" ref="X9" ca="1">$V9+ABS(_xlfn.T.INV(0.025,df_PN010006))*(Syx_PN010006*SQRT(1+1/n_PN010006+($Q9-XBar_PN010006)^2/SSx_PN010006))</f>
        <v>1000.0148861049253</v>
      </c>
    </row>
    <row r="10" spans="1:24" x14ac:dyDescent="0.35">
      <c r="A10" s="7">
        <v>42676</v>
      </c>
      <c r="B10" s="3">
        <f t="shared" si="7"/>
        <v>295</v>
      </c>
      <c r="C10" s="3">
        <f>SUM(B$4:B10)</f>
        <v>1549</v>
      </c>
      <c r="D10" s="6">
        <f t="shared" si="0"/>
        <v>12.500000000045475</v>
      </c>
      <c r="E10" s="5">
        <f t="shared" si="8"/>
        <v>-0.19999999994979589</v>
      </c>
      <c r="F10" s="2">
        <v>1000.0125</v>
      </c>
      <c r="G10" s="4">
        <v>4.7100000000000001E-4</v>
      </c>
      <c r="H10" s="19">
        <f t="shared" ca="1" si="1"/>
        <v>1000.0129701957986</v>
      </c>
      <c r="I10" s="19">
        <f t="shared" ca="1" si="2"/>
        <v>1000.0122544492204</v>
      </c>
      <c r="J10" s="19">
        <f t="shared" ca="1" si="3"/>
        <v>1000.0136859423768</v>
      </c>
      <c r="K10" s="13"/>
      <c r="L10" s="14" t="s">
        <v>15</v>
      </c>
      <c r="M10" s="15">
        <f>n_PN010006-2</f>
        <v>11</v>
      </c>
      <c r="N10" s="13"/>
      <c r="O10" s="7">
        <v>44657</v>
      </c>
      <c r="P10" s="3">
        <f t="shared" si="9"/>
        <v>218</v>
      </c>
      <c r="Q10" s="3">
        <f>SUM(P$4:P10)</f>
        <v>1674</v>
      </c>
      <c r="R10" s="6">
        <f t="shared" si="4"/>
        <v>9.9699999999529609</v>
      </c>
      <c r="S10" s="5">
        <f t="shared" si="10"/>
        <v>0.64999999995052349</v>
      </c>
      <c r="T10" s="2">
        <v>1000.00997</v>
      </c>
      <c r="U10" s="4">
        <v>4.4000000000000002E-4</v>
      </c>
      <c r="V10" s="19">
        <f t="shared" ca="1" si="5"/>
        <v>1000.009415618093</v>
      </c>
      <c r="W10" s="19">
        <f t="shared" ca="1" si="6"/>
        <v>1000.0034243751348</v>
      </c>
      <c r="X10" s="19" cm="1">
        <f t="array" aca="1" ref="X10" ca="1">$V10+ABS(_xlfn.T.INV(0.025,df_PN010006))*(Syx_PN010006*SQRT(1+1/n_PN010006+($Q10-XBar_PN010006)^2/SSx_PN010006))</f>
        <v>1000.0154068610512</v>
      </c>
    </row>
    <row r="11" spans="1:24" x14ac:dyDescent="0.35">
      <c r="A11" s="7">
        <v>42983</v>
      </c>
      <c r="B11" s="3">
        <f t="shared" si="7"/>
        <v>307</v>
      </c>
      <c r="C11" s="3">
        <f>SUM(B$4:B11)</f>
        <v>1856</v>
      </c>
      <c r="D11" s="6">
        <f t="shared" si="0"/>
        <v>12.600000000020373</v>
      </c>
      <c r="E11" s="5">
        <f t="shared" si="8"/>
        <v>9.9999999974897946E-2</v>
      </c>
      <c r="F11" s="2">
        <v>1000.0126</v>
      </c>
      <c r="G11" s="4">
        <v>4.7100000000000001E-4</v>
      </c>
      <c r="H11" s="19">
        <f t="shared" ca="1" si="1"/>
        <v>1000.0132421732678</v>
      </c>
      <c r="I11" s="19">
        <f t="shared" ca="1" si="2"/>
        <v>1000.0125293012592</v>
      </c>
      <c r="J11" s="19">
        <f t="shared" ca="1" si="3"/>
        <v>1000.0139550452765</v>
      </c>
      <c r="K11" s="13"/>
      <c r="L11" s="14" t="s">
        <v>16</v>
      </c>
      <c r="M11" s="16">
        <f ca="1">AVERAGE(OFFSET($P$3,,,COUNTA($P:$P)-3))</f>
        <v>220.15384615384616</v>
      </c>
      <c r="N11" s="13"/>
      <c r="O11" s="7">
        <v>44866</v>
      </c>
      <c r="P11" s="3">
        <f t="shared" si="9"/>
        <v>209</v>
      </c>
      <c r="Q11" s="3">
        <f>SUM(P$4:P11)</f>
        <v>1883</v>
      </c>
      <c r="R11" s="6">
        <f t="shared" si="4"/>
        <v>10.239999999953397</v>
      </c>
      <c r="S11" s="5">
        <f t="shared" si="10"/>
        <v>0.27000000000043656</v>
      </c>
      <c r="T11" s="2">
        <v>1000.01024</v>
      </c>
      <c r="U11" s="4">
        <v>4.4000000000000002E-4</v>
      </c>
      <c r="V11" s="19">
        <f t="shared" ca="1" si="5"/>
        <v>1000.0097823779214</v>
      </c>
      <c r="W11" s="19">
        <f t="shared" ca="1" si="6"/>
        <v>1000.0036412489646</v>
      </c>
      <c r="X11" s="19" cm="1">
        <f t="array" aca="1" ref="X11" ca="1">$V11+ABS(_xlfn.T.INV(0.025,df_PN010006))*(Syx_PN010006*SQRT(1+1/n_PN010006+($Q11-XBar_PN010006)^2/SSx_PN010006))</f>
        <v>1000.0159235068782</v>
      </c>
    </row>
    <row r="12" spans="1:24" x14ac:dyDescent="0.35">
      <c r="A12" s="7">
        <v>43188</v>
      </c>
      <c r="B12" s="3">
        <f t="shared" si="7"/>
        <v>205</v>
      </c>
      <c r="C12" s="3">
        <f>SUM(B$4:B12)</f>
        <v>2061</v>
      </c>
      <c r="D12" s="6">
        <f t="shared" si="0"/>
        <v>13.799999999946522</v>
      </c>
      <c r="E12" s="5">
        <f t="shared" si="8"/>
        <v>1.199999999926149</v>
      </c>
      <c r="F12" s="2">
        <v>1000.0137999999999</v>
      </c>
      <c r="G12" s="4">
        <v>4.7100000000000001E-4</v>
      </c>
      <c r="H12" s="19">
        <f t="shared" ca="1" si="1"/>
        <v>1000.0134237868873</v>
      </c>
      <c r="I12" s="19">
        <f t="shared" ca="1" si="2"/>
        <v>1000.012711979901</v>
      </c>
      <c r="J12" s="19">
        <f t="shared" ca="1" si="3"/>
        <v>1000.0141355938736</v>
      </c>
      <c r="K12" s="13"/>
      <c r="L12" s="14" t="s">
        <v>17</v>
      </c>
      <c r="M12" s="16">
        <f ca="1">STEYX(OFFSET($T$3,,,n_PN010006),OFFSET($P$3,,,n_PN010006))</f>
        <v>2.3977829034922925E-3</v>
      </c>
      <c r="N12" s="13"/>
      <c r="O12" s="7">
        <v>45097</v>
      </c>
      <c r="P12" s="3">
        <f t="shared" si="9"/>
        <v>231</v>
      </c>
      <c r="Q12" s="3">
        <f>SUM(P$4:P12)</f>
        <v>2114</v>
      </c>
      <c r="R12" s="6">
        <f t="shared" si="4"/>
        <v>10.530000000017026</v>
      </c>
      <c r="S12" s="5">
        <f t="shared" si="10"/>
        <v>0.29000000006362825</v>
      </c>
      <c r="T12" s="2">
        <v>1000.01053</v>
      </c>
      <c r="U12" s="4">
        <v>4.4000000000000002E-4</v>
      </c>
      <c r="V12" s="19">
        <f t="shared" ca="1" si="5"/>
        <v>1000.0101877440474</v>
      </c>
      <c r="W12" s="19">
        <f t="shared" ca="1" si="6"/>
        <v>1000.0038626272357</v>
      </c>
      <c r="X12" s="19" cm="1">
        <f t="array" aca="1" ref="X12" ca="1">$V12+ABS(_xlfn.T.INV(0.025,df_PN010006))*(Syx_PN010006*SQRT(1+1/n_PN010006+($Q12-XBar_PN010006)^2/SSx_PN010006))</f>
        <v>1000.0165128608591</v>
      </c>
    </row>
    <row r="13" spans="1:24" x14ac:dyDescent="0.35">
      <c r="A13" s="7">
        <v>43391</v>
      </c>
      <c r="B13" s="3">
        <f t="shared" si="7"/>
        <v>203</v>
      </c>
      <c r="C13" s="3">
        <f>SUM(B$4:B13)</f>
        <v>2264</v>
      </c>
      <c r="D13" s="6">
        <f t="shared" si="0"/>
        <v>13.799999999946522</v>
      </c>
      <c r="E13" s="5">
        <f t="shared" si="8"/>
        <v>0</v>
      </c>
      <c r="F13" s="2">
        <v>1000.0137999999999</v>
      </c>
      <c r="G13" s="4">
        <v>4.7100000000000001E-4</v>
      </c>
      <c r="H13" s="19">
        <f t="shared" ca="1" si="1"/>
        <v>1000.0136036286666</v>
      </c>
      <c r="I13" s="19">
        <f t="shared" ca="1" si="2"/>
        <v>1000.0128921982354</v>
      </c>
      <c r="J13" s="19">
        <f t="shared" ca="1" si="3"/>
        <v>1000.0143150590978</v>
      </c>
      <c r="K13" s="13"/>
      <c r="L13" s="14" t="s">
        <v>18</v>
      </c>
      <c r="M13" s="16">
        <f ca="1">DEVSQ(OFFSET($Q$3,,,n_PN010006))</f>
        <v>9976710.7692307699</v>
      </c>
      <c r="N13" s="13"/>
      <c r="O13" s="7">
        <v>45317</v>
      </c>
      <c r="P13" s="3">
        <f t="shared" si="9"/>
        <v>220</v>
      </c>
      <c r="Q13" s="3">
        <f>SUM(P$4:P13)</f>
        <v>2334</v>
      </c>
      <c r="R13" s="6">
        <f t="shared" ref="R13:R14" si="11">(T13-1000)/1000*1000000</f>
        <v>10.830000000055406</v>
      </c>
      <c r="S13" s="5">
        <f t="shared" si="10"/>
        <v>0.30000000003838068</v>
      </c>
      <c r="T13" s="2">
        <v>1000.0108300000001</v>
      </c>
      <c r="U13" s="4">
        <v>4.4000000000000002E-4</v>
      </c>
      <c r="V13" s="19">
        <f t="shared" ca="1" si="5"/>
        <v>1000.0105738070245</v>
      </c>
      <c r="W13" s="19">
        <f t="shared" ca="1" si="6"/>
        <v>1000.0040570201832</v>
      </c>
      <c r="X13" s="19" cm="1">
        <f t="array" aca="1" ref="X13" ca="1">$V13+ABS(_xlfn.T.INV(0.025,df_PN010006))*(Syx_PN010006*SQRT(1+1/n_PN010006+($Q13-XBar_PN010006)^2/SSx_PN010006))</f>
        <v>1000.0170905938658</v>
      </c>
    </row>
    <row r="14" spans="1:24" ht="14.5" x14ac:dyDescent="0.35">
      <c r="A14" s="7">
        <v>43598</v>
      </c>
      <c r="B14" s="3">
        <f t="shared" si="7"/>
        <v>207</v>
      </c>
      <c r="C14" s="3">
        <f>SUM(B$4:B14)</f>
        <v>2471</v>
      </c>
      <c r="D14" s="6">
        <f t="shared" si="0"/>
        <v>14.109999999959655</v>
      </c>
      <c r="E14" s="5">
        <f t="shared" si="8"/>
        <v>0.3100000000131331</v>
      </c>
      <c r="F14" s="2">
        <v>1000.01411</v>
      </c>
      <c r="G14" s="4">
        <v>4.4000000000000002E-4</v>
      </c>
      <c r="H14" s="19">
        <f t="shared" ca="1" si="1"/>
        <v>1000.0137870141264</v>
      </c>
      <c r="I14" s="19">
        <f t="shared" ca="1" si="2"/>
        <v>1000.0130752717337</v>
      </c>
      <c r="J14" s="19">
        <f t="shared" ca="1" si="3"/>
        <v>1000.0144987565191</v>
      </c>
      <c r="K14" s="17"/>
      <c r="L14" s="17"/>
      <c r="M14" s="17"/>
      <c r="N14" s="17"/>
      <c r="O14" s="7">
        <v>45572</v>
      </c>
      <c r="P14" s="3">
        <f t="shared" ref="P14:P15" si="12">O14-O13</f>
        <v>255</v>
      </c>
      <c r="Q14" s="3">
        <f>SUM(P$4:P14)</f>
        <v>2589</v>
      </c>
      <c r="R14" s="6">
        <f t="shared" si="11"/>
        <v>10.719999999992069</v>
      </c>
      <c r="S14" s="5">
        <f t="shared" ref="S14:S15" si="13">R14-R13</f>
        <v>-0.11000000006333721</v>
      </c>
      <c r="T14" s="2">
        <v>1000.01072</v>
      </c>
      <c r="U14" s="4">
        <v>4.4000000000000002E-4</v>
      </c>
      <c r="V14" s="19">
        <f t="shared" ca="1" si="5"/>
        <v>1000.0110212891116</v>
      </c>
      <c r="W14" s="19">
        <f t="shared" ca="1" si="6"/>
        <v>1000.0042640966918</v>
      </c>
      <c r="X14" s="19" cm="1">
        <f t="array" aca="1" ref="X14" ca="1">$V14+ABS(_xlfn.T.INV(0.025,df_PN010006))*(Syx_PN010006*SQRT(1+1/n_PN010006+($Q14-XBar_PN010006)^2/SSx_PN010006))</f>
        <v>1000.0177784815313</v>
      </c>
    </row>
    <row r="15" spans="1:24" x14ac:dyDescent="0.35">
      <c r="A15" s="7">
        <v>43711</v>
      </c>
      <c r="B15" s="3">
        <f t="shared" si="7"/>
        <v>113</v>
      </c>
      <c r="C15" s="3">
        <f>SUM(B$4:B15)</f>
        <v>2584</v>
      </c>
      <c r="D15" s="6">
        <f t="shared" si="0"/>
        <v>13.569999999958782</v>
      </c>
      <c r="E15" s="5">
        <f t="shared" si="8"/>
        <v>-0.54000000000087311</v>
      </c>
      <c r="F15" s="2">
        <v>1000.01357</v>
      </c>
      <c r="G15" s="4">
        <v>4.4000000000000002E-4</v>
      </c>
      <c r="H15" s="19">
        <f t="shared" ca="1" si="1"/>
        <v>1000.0138871230971</v>
      </c>
      <c r="I15" s="19">
        <f t="shared" ca="1" si="2"/>
        <v>1000.0131749141416</v>
      </c>
      <c r="J15" s="19">
        <f t="shared" ca="1" si="3"/>
        <v>1000.0145993320526</v>
      </c>
      <c r="K15" s="4"/>
      <c r="L15" s="4"/>
      <c r="M15" s="4"/>
      <c r="O15" s="7">
        <v>45845</v>
      </c>
      <c r="P15" s="3">
        <f t="shared" si="12"/>
        <v>273</v>
      </c>
      <c r="Q15" s="3">
        <f>SUM(P$4:P15)</f>
        <v>2862</v>
      </c>
      <c r="R15" s="6">
        <f t="shared" ref="R15" si="14">(T15-1000)/1000*1000000</f>
        <v>10.59999999995398</v>
      </c>
      <c r="S15" s="5">
        <f t="shared" si="13"/>
        <v>-0.12000000003808964</v>
      </c>
      <c r="T15" s="2">
        <v>1000.0106</v>
      </c>
      <c r="U15" s="4">
        <v>4.4000000000000002E-4</v>
      </c>
      <c r="V15" s="19">
        <f t="shared" ca="1" si="5"/>
        <v>1000.0115003581695</v>
      </c>
      <c r="W15" s="19">
        <f t="shared" ca="1" si="6"/>
        <v>1000.0044662662103</v>
      </c>
      <c r="X15" s="19" cm="1">
        <f t="array" aca="1" ref="X15" ca="1">$V15+ABS(_xlfn.T.INV(0.025,df_PN010006))*(Syx_PN010006*SQRT(1+1/n_PN010006+($Q15-XBar_PN010006)^2/SSx_PN010006))</f>
        <v>1000.0185344501288</v>
      </c>
    </row>
    <row r="16" spans="1:24" x14ac:dyDescent="0.35">
      <c r="A16" s="7">
        <v>43742</v>
      </c>
      <c r="B16" s="3">
        <f t="shared" si="7"/>
        <v>31</v>
      </c>
      <c r="C16" s="3">
        <f>SUM(B$4:B16)</f>
        <v>2615</v>
      </c>
      <c r="D16" s="6">
        <f t="shared" si="0"/>
        <v>13.63000000003467</v>
      </c>
      <c r="E16" s="5">
        <f t="shared" si="8"/>
        <v>6.0000000075888238E-2</v>
      </c>
      <c r="F16" s="2">
        <v>1000.01363</v>
      </c>
      <c r="G16" s="4">
        <v>4.4000000000000002E-4</v>
      </c>
      <c r="H16" s="19">
        <f t="shared" ca="1" si="1"/>
        <v>1000.0139145866201</v>
      </c>
      <c r="I16" s="19">
        <f t="shared" ca="1" si="2"/>
        <v>1000.0132022131565</v>
      </c>
      <c r="J16" s="19">
        <f t="shared" ca="1" si="3"/>
        <v>1000.0146269600837</v>
      </c>
      <c r="K16" s="4"/>
      <c r="L16" s="4"/>
      <c r="M16" s="4"/>
      <c r="O16" s="7">
        <v>46140</v>
      </c>
      <c r="P16" s="3">
        <f t="shared" ref="P16" si="15">O16-O15</f>
        <v>295</v>
      </c>
      <c r="Q16" s="3">
        <f>SUM(P$4:P16)</f>
        <v>3157</v>
      </c>
      <c r="R16" s="6">
        <f t="shared" ref="R16" si="16">(T16-1000)/1000*1000000</f>
        <v>11.37000000005628</v>
      </c>
      <c r="S16" s="5">
        <f t="shared" ref="S16" si="17">R16-R15</f>
        <v>0.77000000010229996</v>
      </c>
      <c r="T16" s="2">
        <v>1000.0113700000001</v>
      </c>
      <c r="U16" s="4">
        <v>4.4000000000000002E-4</v>
      </c>
      <c r="V16" s="19">
        <f t="shared" ca="1" si="5"/>
        <v>1000.0120180335252</v>
      </c>
      <c r="W16" s="19">
        <f t="shared" ca="1" si="6"/>
        <v>1000.0046646147941</v>
      </c>
      <c r="X16" s="19" cm="1">
        <f t="array" aca="1" ref="X16" ca="1">$V16+ABS(_xlfn.T.INV(0.025,df_PN010006))*(Syx_PN010006*SQRT(1+1/n_PN010006+($Q16-XBar_PN010006)^2/SSx_PN010006))</f>
        <v>1000.0193714522563</v>
      </c>
    </row>
    <row r="17" spans="1:20" x14ac:dyDescent="0.35">
      <c r="A17" s="7">
        <v>43753</v>
      </c>
      <c r="B17" s="3">
        <f t="shared" si="7"/>
        <v>11</v>
      </c>
      <c r="C17" s="3">
        <f>SUM(B$4:B17)</f>
        <v>2626</v>
      </c>
      <c r="D17" s="6">
        <f t="shared" si="0"/>
        <v>13.590000000021973</v>
      </c>
      <c r="E17" s="5">
        <f t="shared" si="8"/>
        <v>-4.0000000012696546E-2</v>
      </c>
      <c r="F17" s="2">
        <v>1000.01359</v>
      </c>
      <c r="G17" s="4">
        <v>4.4000000000000002E-4</v>
      </c>
      <c r="H17" s="19">
        <f t="shared" ca="1" si="1"/>
        <v>1000.0139243317411</v>
      </c>
      <c r="I17" s="19">
        <f t="shared" ca="1" si="2"/>
        <v>1000.0132118961288</v>
      </c>
      <c r="J17" s="19">
        <f t="shared" ca="1" si="3"/>
        <v>1000.0146367673534</v>
      </c>
      <c r="K17" s="4"/>
      <c r="L17" s="4"/>
      <c r="M17" s="4"/>
      <c r="T17" s="8"/>
    </row>
    <row r="18" spans="1:20" x14ac:dyDescent="0.35">
      <c r="A18" s="7">
        <v>43970</v>
      </c>
      <c r="B18" s="3">
        <f t="shared" si="7"/>
        <v>217</v>
      </c>
      <c r="C18" s="3">
        <f>SUM(B$4:B18)</f>
        <v>2843</v>
      </c>
      <c r="D18" s="6">
        <f t="shared" si="0"/>
        <v>14.379999999960091</v>
      </c>
      <c r="E18" s="5">
        <f t="shared" si="8"/>
        <v>0.78999999993811798</v>
      </c>
      <c r="F18" s="1">
        <v>1000.01438</v>
      </c>
      <c r="G18" s="4">
        <v>4.4000000000000002E-4</v>
      </c>
      <c r="H18" s="19">
        <f t="shared" ca="1" si="1"/>
        <v>1000.0141165764018</v>
      </c>
      <c r="I18" s="19">
        <f t="shared" ca="1" si="2"/>
        <v>1000.0134025114509</v>
      </c>
      <c r="J18" s="19">
        <f t="shared" ca="1" si="3"/>
        <v>1000.0148306413527</v>
      </c>
      <c r="K18" s="4"/>
      <c r="L18" s="4"/>
      <c r="M18" s="4"/>
      <c r="T18" s="8"/>
    </row>
    <row r="19" spans="1:20" x14ac:dyDescent="0.35">
      <c r="A19" s="7">
        <v>44322</v>
      </c>
      <c r="B19" s="3">
        <f t="shared" si="7"/>
        <v>352</v>
      </c>
      <c r="C19" s="3">
        <f>SUM(B$4:B19)</f>
        <v>3195</v>
      </c>
      <c r="D19" s="6">
        <f t="shared" si="0"/>
        <v>14.679999999998472</v>
      </c>
      <c r="E19" s="5">
        <f t="shared" si="8"/>
        <v>0.30000000003838068</v>
      </c>
      <c r="F19" s="1">
        <v>1000.01468</v>
      </c>
      <c r="G19" s="4">
        <v>5.0000000000000001E-4</v>
      </c>
      <c r="H19" s="19">
        <f t="shared" ca="1" si="1"/>
        <v>1000.0144284202753</v>
      </c>
      <c r="I19" s="19">
        <f t="shared" ca="1" si="2"/>
        <v>1000.0137100913809</v>
      </c>
      <c r="J19" s="19">
        <f t="shared" ca="1" si="3"/>
        <v>1000.0151467491697</v>
      </c>
      <c r="K19" s="4"/>
      <c r="L19" s="4"/>
      <c r="M19" s="4"/>
      <c r="T19" s="8"/>
    </row>
    <row r="20" spans="1:20" x14ac:dyDescent="0.35">
      <c r="A20" s="7">
        <v>44550</v>
      </c>
      <c r="B20" s="3">
        <f t="shared" si="7"/>
        <v>228</v>
      </c>
      <c r="C20" s="3">
        <f>SUM(B$4:B20)</f>
        <v>3423</v>
      </c>
      <c r="D20" s="6">
        <f t="shared" si="0"/>
        <v>14.660000000048967</v>
      </c>
      <c r="E20" s="5">
        <f t="shared" si="8"/>
        <v>-1.9999999949504854E-2</v>
      </c>
      <c r="F20" s="1">
        <v>1000.01466</v>
      </c>
      <c r="G20" s="4">
        <v>5.0000000000000001E-4</v>
      </c>
      <c r="H20" s="19">
        <f t="shared" ca="1" si="1"/>
        <v>1000.014630410057</v>
      </c>
      <c r="I20" s="19">
        <f t="shared" ca="1" si="2"/>
        <v>1000.0139082634123</v>
      </c>
      <c r="J20" s="19">
        <f t="shared" ca="1" si="3"/>
        <v>1000.0153525567016</v>
      </c>
      <c r="K20" s="4"/>
      <c r="L20" s="4"/>
      <c r="M20" s="4"/>
    </row>
    <row r="21" spans="1:20" x14ac:dyDescent="0.35">
      <c r="A21" s="7">
        <v>44759</v>
      </c>
      <c r="B21" s="3">
        <f t="shared" si="7"/>
        <v>209</v>
      </c>
      <c r="C21" s="3">
        <f>SUM(B$4:B21)</f>
        <v>3632</v>
      </c>
      <c r="D21" s="6">
        <f t="shared" si="0"/>
        <v>14.789999999948122</v>
      </c>
      <c r="E21" s="5">
        <f t="shared" si="8"/>
        <v>0.12999999989915523</v>
      </c>
      <c r="F21" s="1">
        <v>1000.0147899999999</v>
      </c>
      <c r="G21" s="4">
        <v>5.0000000000000001E-4</v>
      </c>
      <c r="H21" s="19">
        <f t="shared" ca="1" si="1"/>
        <v>1000.0148155673569</v>
      </c>
      <c r="I21" s="19">
        <f t="shared" ca="1" si="2"/>
        <v>1000.0140892046661</v>
      </c>
      <c r="J21" s="19">
        <f t="shared" ca="1" si="3"/>
        <v>1000.0155419300477</v>
      </c>
      <c r="K21" s="4"/>
      <c r="L21" s="4"/>
      <c r="M21" s="4"/>
    </row>
    <row r="22" spans="1:20" x14ac:dyDescent="0.35">
      <c r="A22" s="7">
        <v>44968</v>
      </c>
      <c r="B22" s="3">
        <f t="shared" si="7"/>
        <v>209</v>
      </c>
      <c r="C22" s="3">
        <f>SUM(B$4:B22)</f>
        <v>3841</v>
      </c>
      <c r="D22" s="6">
        <f t="shared" si="0"/>
        <v>15.620000000012624</v>
      </c>
      <c r="E22" s="5">
        <f t="shared" si="8"/>
        <v>0.83000000006450136</v>
      </c>
      <c r="F22" s="1">
        <v>1000.01562</v>
      </c>
      <c r="G22" s="4">
        <v>5.0000000000000001E-4</v>
      </c>
      <c r="H22" s="19">
        <f t="shared" ca="1" si="1"/>
        <v>1000.0150007246567</v>
      </c>
      <c r="I22" s="19">
        <f t="shared" ca="1" si="2"/>
        <v>1000.0142694727947</v>
      </c>
      <c r="J22" s="19">
        <f t="shared" ca="1" si="3"/>
        <v>1000.0157319765187</v>
      </c>
    </row>
    <row r="23" spans="1:20" x14ac:dyDescent="0.35">
      <c r="A23" s="7">
        <v>45208</v>
      </c>
      <c r="B23" s="3">
        <f t="shared" si="7"/>
        <v>240</v>
      </c>
      <c r="C23" s="3">
        <f>SUM(B$4:B23)</f>
        <v>4081</v>
      </c>
      <c r="D23" s="1">
        <f t="shared" si="0"/>
        <v>14.840000000049258</v>
      </c>
      <c r="E23" s="5">
        <f t="shared" si="8"/>
        <v>-0.77999999996336555</v>
      </c>
      <c r="F23" s="1">
        <v>1000.01484</v>
      </c>
      <c r="G23" s="4">
        <v>5.0000000000000001E-4</v>
      </c>
      <c r="H23" s="19">
        <f t="shared" ca="1" si="1"/>
        <v>1000.0152133454795</v>
      </c>
      <c r="I23" s="19">
        <f t="shared" ca="1" si="2"/>
        <v>1000.01447566638</v>
      </c>
      <c r="J23" s="19">
        <f t="shared" ca="1" si="3"/>
        <v>1000.0159510245791</v>
      </c>
    </row>
    <row r="24" spans="1:20" x14ac:dyDescent="0.35">
      <c r="A24" s="7">
        <v>45519</v>
      </c>
      <c r="B24" s="3">
        <f t="shared" ref="B24" si="18">A24-A23</f>
        <v>311</v>
      </c>
      <c r="C24" s="3">
        <f>SUM(B$4:B24)</f>
        <v>4392</v>
      </c>
      <c r="D24" s="1">
        <f t="shared" ref="D24" si="19">(F24-1000)/1000*1000000</f>
        <v>15.219999999999345</v>
      </c>
      <c r="E24" s="5">
        <f t="shared" ref="E24" si="20">D24-D23</f>
        <v>0.37999999995008693</v>
      </c>
      <c r="F24" s="1">
        <v>1000.01522</v>
      </c>
      <c r="G24" s="4">
        <v>5.0000000000000001E-4</v>
      </c>
      <c r="H24" s="19">
        <f t="shared" ca="1" si="1"/>
        <v>1000.0154888666292</v>
      </c>
      <c r="I24" s="19">
        <f t="shared" ca="1" si="2"/>
        <v>1000.0147416019662</v>
      </c>
      <c r="J24" s="19">
        <f t="shared" ca="1" si="3"/>
        <v>1000.0162361312922</v>
      </c>
    </row>
    <row r="25" spans="1:20" x14ac:dyDescent="0.35">
      <c r="A25" s="7">
        <v>45726</v>
      </c>
      <c r="B25" s="3">
        <f t="shared" ref="B25" si="21">A25-A24</f>
        <v>207</v>
      </c>
      <c r="C25" s="3">
        <f>SUM(B$4:B25)</f>
        <v>4599</v>
      </c>
      <c r="D25" s="1">
        <f t="shared" ref="D25" si="22">(F25-1000)/1000*1000000</f>
        <v>15.880000000038306</v>
      </c>
      <c r="E25" s="5">
        <f t="shared" ref="E25" si="23">D25-D24</f>
        <v>0.66000000003896098</v>
      </c>
      <c r="F25" s="1">
        <v>1000.01588</v>
      </c>
      <c r="G25" s="4">
        <v>5.0000000000000001E-4</v>
      </c>
      <c r="H25" s="19">
        <f t="shared" ca="1" si="1"/>
        <v>1000.0156722520888</v>
      </c>
      <c r="I25" s="19">
        <f t="shared" ca="1" si="2"/>
        <v>1000.014917845081</v>
      </c>
      <c r="J25" s="19">
        <f t="shared" ca="1" si="3"/>
        <v>1000.0164266590967</v>
      </c>
    </row>
    <row r="26" spans="1:20" x14ac:dyDescent="0.35">
      <c r="A26" s="7">
        <v>46008</v>
      </c>
      <c r="B26" s="3">
        <f t="shared" ref="B26" si="24">A26-A25</f>
        <v>282</v>
      </c>
      <c r="C26" s="3">
        <f>SUM(B$4:B26)</f>
        <v>4881</v>
      </c>
      <c r="D26" s="1">
        <f t="shared" ref="D26" si="25">(F26-1000)/1000*1000000</f>
        <v>17.470000000002983</v>
      </c>
      <c r="E26" s="5">
        <f t="shared" ref="E26" si="26">D26-D25</f>
        <v>1.589999999964677</v>
      </c>
      <c r="F26" s="1">
        <v>1000.01747</v>
      </c>
      <c r="G26" s="4">
        <v>5.0000000000000001E-4</v>
      </c>
      <c r="H26" s="19">
        <f t="shared" ca="1" si="1"/>
        <v>1000.0159220815557</v>
      </c>
      <c r="I26" s="19">
        <f t="shared" ca="1" si="2"/>
        <v>1000.0151569993751</v>
      </c>
      <c r="J26" s="19">
        <f t="shared" ca="1" si="3"/>
        <v>1000.0166871637363</v>
      </c>
      <c r="M26" s="2"/>
    </row>
    <row r="27" spans="1:20" x14ac:dyDescent="0.35">
      <c r="B27" s="3"/>
    </row>
    <row r="30" spans="1:20" ht="14.5" x14ac:dyDescent="0.35">
      <c r="N30"/>
    </row>
    <row r="1048576" spans="20:20" x14ac:dyDescent="0.35">
      <c r="T1048576" s="2"/>
    </row>
  </sheetData>
  <mergeCells count="4">
    <mergeCell ref="H1:J1"/>
    <mergeCell ref="L1:M1"/>
    <mergeCell ref="L8:M8"/>
    <mergeCell ref="V1:X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justed_x003f_ xmlns="e9030caa-ab7d-4043-a723-846408bcfa62">false</Adjusted_x003f_>
    <Cal_x002e_Date xmlns="e9030caa-ab7d-4043-a723-846408bcfa62" xsi:nil="true"/>
    <CalProvider xmlns="e9030caa-ab7d-4043-a723-846408bcfa62" xsi:nil="true"/>
    <ETEs xmlns="e9030caa-ab7d-4043-a723-846408bcfa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492F1-D763-4724-957C-3C22ECD3EF83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2.xml><?xml version="1.0" encoding="utf-8"?>
<ds:datastoreItem xmlns:ds="http://schemas.openxmlformats.org/officeDocument/2006/customXml" ds:itemID="{E4954E1D-27AE-415B-B3EE-81AC99CE2F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793C59-223A-45EC-9052-6952F867B8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1K Ohm</vt:lpstr>
      <vt:lpstr>df_PN010006</vt:lpstr>
      <vt:lpstr>df_PN010007</vt:lpstr>
      <vt:lpstr>n_PN010006</vt:lpstr>
      <vt:lpstr>n_PN010007</vt:lpstr>
      <vt:lpstr>SSx_PN010006</vt:lpstr>
      <vt:lpstr>SSx_PN010007</vt:lpstr>
      <vt:lpstr>Syx_PN010006</vt:lpstr>
      <vt:lpstr>Syx_PN010007</vt:lpstr>
      <vt:lpstr>XBar_PN010006</vt:lpstr>
      <vt:lpstr>XBar_PN010007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2023-11-17T02:01:50Z</dcterms:created>
  <dcterms:modified xsi:type="dcterms:W3CDTF">2026-09-08T00:41:52Z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