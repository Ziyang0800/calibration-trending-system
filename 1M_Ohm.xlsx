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0A67BA11-B99C-4826-8750-019130D8085F}" xr6:coauthVersionLast="47" xr6:coauthVersionMax="47" xr10:uidLastSave="{00000000-0000-0000-0000-000000000000}"/>
  <bookViews>
    <workbookView xWindow="-110" yWindow="-110" windowWidth="38620" windowHeight="21100" xr2:uid="{7BAC4CAC-AA9B-4A15-9C14-E2AED40341D1}"/>
  </bookViews>
  <sheets>
    <sheet name="1M Ohm" sheetId="1" r:id="rId1"/>
  </sheets>
  <externalReferences>
    <externalReference r:id="rId2"/>
  </externalReferences>
  <definedNames>
    <definedName name="df_PN010012">'1M Ohm'!$M$10</definedName>
    <definedName name="df_PN010013" localSheetId="0">'1M Ohm'!$M$3</definedName>
    <definedName name="Known_xs_PN010012" localSheetId="0">OFFSET('1M Ohm'!$Q$3,,,COUNTA('1M Ohm'!$Q:$Q)-3)</definedName>
    <definedName name="Known_xs_PN010013">OFFSET('1M Ohm'!$C$3,,,COUNTA('1M Ohm'!$C:$C)-3)</definedName>
    <definedName name="Known_ys_PN010012">OFFSET('1M Ohm'!$T$3,,,COUNTA('1M Ohm'!$T:$T)-2)</definedName>
    <definedName name="Known_ys_PN010013">OFFSET('1M Ohm'!$F$3,,,COUNTA('1M Ohm'!$F:$F)-2)</definedName>
    <definedName name="n_PN010012">'1M Ohm'!$M$9</definedName>
    <definedName name="n_PN010013">'1M Ohm'!$M$2</definedName>
    <definedName name="PI_L_PN010001">OFFSET('[1]1 Ohm'!$I$3,,,COUNTA('[1]1 Ohm'!$I:$I)-1)</definedName>
    <definedName name="PI_L_PN010022">OFFSET('[1]1 Ohm'!$W$3,,,COUNTA('[1]1 Ohm'!$W:$W)-1)</definedName>
    <definedName name="PI_U_PN010001">OFFSET('[1]1 Ohm'!$J$3,,,COUNTA('[1]1 Ohm'!$J:$J)-1)</definedName>
    <definedName name="PI_U_PN010022">OFFSET('[1]1 Ohm'!$X$3,,,COUNTA('[1]1 Ohm'!$X:$X)-1)</definedName>
    <definedName name="Predicted_PN010001">OFFSET('[1]1 Ohm'!$H$3,,,COUNTA('[1]1 Ohm'!$H:$H)-2)</definedName>
    <definedName name="Predicted_PN010022">OFFSET('[1]1 Ohm'!$V$3,,,COUNTA('[1]1 Ohm'!$V:$V)-2)</definedName>
    <definedName name="SSx_PN010012">'1M Ohm'!$M$13</definedName>
    <definedName name="SSx_PN010013" localSheetId="0">'1M Ohm'!$M$6</definedName>
    <definedName name="Syx_PN010012">'1M Ohm'!$M$12</definedName>
    <definedName name="Syx_PN010013" localSheetId="0">'1M Ohm'!$M$5</definedName>
    <definedName name="XBar_PN010012">'1M Ohm'!$M$11</definedName>
    <definedName name="XBar_PN010013" localSheetId="0">'1M Ohm'!$M$4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" i="1" l="1"/>
  <c r="S23" i="1" s="1"/>
  <c r="P23" i="1"/>
  <c r="Q23" i="1" s="1"/>
  <c r="V23" i="1" s="1"/>
  <c r="D16" i="1"/>
  <c r="E16" i="1" s="1"/>
  <c r="B16" i="1"/>
  <c r="C16" i="1" s="1"/>
  <c r="H16" i="1" s="1"/>
  <c r="R22" i="1"/>
  <c r="S22" i="1" s="1"/>
  <c r="Q22" i="1"/>
  <c r="P22" i="1"/>
  <c r="R21" i="1"/>
  <c r="S21" i="1" s="1"/>
  <c r="Q21" i="1"/>
  <c r="P21" i="1"/>
  <c r="D15" i="1"/>
  <c r="E15" i="1" s="1"/>
  <c r="C15" i="1"/>
  <c r="B15" i="1"/>
  <c r="D14" i="1"/>
  <c r="E14" i="1" s="1"/>
  <c r="C14" i="1"/>
  <c r="B14" i="1"/>
  <c r="R20" i="1"/>
  <c r="P20" i="1"/>
  <c r="R19" i="1"/>
  <c r="P19" i="1"/>
  <c r="Q19" i="1" s="1"/>
  <c r="R18" i="1"/>
  <c r="S18" i="1" s="1"/>
  <c r="Q18" i="1"/>
  <c r="P18" i="1"/>
  <c r="D13" i="1"/>
  <c r="B13" i="1"/>
  <c r="D12" i="1"/>
  <c r="E12" i="1" s="1"/>
  <c r="B12" i="1"/>
  <c r="C12" i="1" s="1"/>
  <c r="M9" i="1"/>
  <c r="M10" i="1" s="1"/>
  <c r="M2" i="1"/>
  <c r="M3" i="1" s="1"/>
  <c r="D3" i="1"/>
  <c r="G3" i="1"/>
  <c r="R3" i="1"/>
  <c r="B4" i="1"/>
  <c r="C4" i="1" s="1"/>
  <c r="D4" i="1"/>
  <c r="P4" i="1"/>
  <c r="R4" i="1"/>
  <c r="S4" i="1" s="1"/>
  <c r="B5" i="1"/>
  <c r="D5" i="1"/>
  <c r="P5" i="1"/>
  <c r="R5" i="1"/>
  <c r="B6" i="1"/>
  <c r="D6" i="1"/>
  <c r="P6" i="1"/>
  <c r="R6" i="1"/>
  <c r="B7" i="1"/>
  <c r="D7" i="1"/>
  <c r="E7" i="1" s="1"/>
  <c r="P7" i="1"/>
  <c r="R7" i="1"/>
  <c r="B8" i="1"/>
  <c r="D8" i="1"/>
  <c r="E9" i="1" s="1"/>
  <c r="P8" i="1"/>
  <c r="R8" i="1"/>
  <c r="B9" i="1"/>
  <c r="D9" i="1"/>
  <c r="P9" i="1"/>
  <c r="R9" i="1"/>
  <c r="B10" i="1"/>
  <c r="D10" i="1"/>
  <c r="P10" i="1"/>
  <c r="R10" i="1"/>
  <c r="B11" i="1"/>
  <c r="D11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V22" i="1" l="1"/>
  <c r="V21" i="1"/>
  <c r="H14" i="1"/>
  <c r="H15" i="1"/>
  <c r="S20" i="1"/>
  <c r="S19" i="1"/>
  <c r="V19" i="1"/>
  <c r="V12" i="1"/>
  <c r="Q20" i="1"/>
  <c r="V20" i="1" s="1"/>
  <c r="V13" i="1"/>
  <c r="V6" i="1"/>
  <c r="V14" i="1"/>
  <c r="V17" i="1"/>
  <c r="V18" i="1"/>
  <c r="V16" i="1"/>
  <c r="M12" i="1"/>
  <c r="V9" i="1"/>
  <c r="V5" i="1"/>
  <c r="V3" i="1"/>
  <c r="M11" i="1"/>
  <c r="V8" i="1"/>
  <c r="V10" i="1"/>
  <c r="V11" i="1"/>
  <c r="V7" i="1"/>
  <c r="V4" i="1"/>
  <c r="V15" i="1"/>
  <c r="E13" i="1"/>
  <c r="H11" i="1"/>
  <c r="H3" i="1"/>
  <c r="H12" i="1"/>
  <c r="C13" i="1"/>
  <c r="H13" i="1" s="1"/>
  <c r="S12" i="1"/>
  <c r="E10" i="1"/>
  <c r="S9" i="1"/>
  <c r="S6" i="1"/>
  <c r="S15" i="1"/>
  <c r="S7" i="1"/>
  <c r="S17" i="1"/>
  <c r="S11" i="1"/>
  <c r="S8" i="1"/>
  <c r="E5" i="1"/>
  <c r="S14" i="1"/>
  <c r="S16" i="1"/>
  <c r="E11" i="1"/>
  <c r="S5" i="1"/>
  <c r="E4" i="1"/>
  <c r="Q6" i="1"/>
  <c r="S10" i="1"/>
  <c r="E6" i="1"/>
  <c r="C5" i="1"/>
  <c r="S13" i="1"/>
  <c r="E8" i="1"/>
  <c r="C7" i="1"/>
  <c r="Q15" i="1"/>
  <c r="Q12" i="1"/>
  <c r="Q10" i="1"/>
  <c r="C9" i="1"/>
  <c r="Q7" i="1"/>
  <c r="C6" i="1"/>
  <c r="Q4" i="1"/>
  <c r="Q17" i="1"/>
  <c r="Q14" i="1"/>
  <c r="Q11" i="1"/>
  <c r="C10" i="1"/>
  <c r="Q8" i="1"/>
  <c r="Q5" i="1"/>
  <c r="Q16" i="1"/>
  <c r="Q13" i="1"/>
  <c r="C11" i="1"/>
  <c r="Q9" i="1"/>
  <c r="C8" i="1"/>
  <c r="H8" i="1" l="1"/>
  <c r="M4" i="1"/>
  <c r="H5" i="1"/>
  <c r="H6" i="1"/>
  <c r="M13" i="1"/>
  <c r="X11" i="1" s="1" a="1"/>
  <c r="X11" i="1" s="1"/>
  <c r="H4" i="1"/>
  <c r="H7" i="1"/>
  <c r="M5" i="1"/>
  <c r="M6" i="1"/>
  <c r="H10" i="1"/>
  <c r="H9" i="1"/>
  <c r="X23" i="1" l="1" a="1"/>
  <c r="X23" i="1" s="1"/>
  <c r="W23" i="1"/>
  <c r="J16" i="1"/>
  <c r="I16" i="1"/>
  <c r="W22" i="1"/>
  <c r="X22" i="1" a="1"/>
  <c r="X22" i="1" s="1"/>
  <c r="X21" i="1" a="1"/>
  <c r="X21" i="1" s="1"/>
  <c r="W21" i="1"/>
  <c r="J15" i="1"/>
  <c r="I15" i="1"/>
  <c r="J14" i="1"/>
  <c r="I14" i="1"/>
  <c r="J6" i="1"/>
  <c r="W12" i="1"/>
  <c r="X8" i="1" a="1"/>
  <c r="X8" i="1" s="1"/>
  <c r="X7" i="1" a="1"/>
  <c r="X7" i="1" s="1"/>
  <c r="W5" i="1"/>
  <c r="W13" i="1"/>
  <c r="W15" i="1"/>
  <c r="W6" i="1"/>
  <c r="W14" i="1"/>
  <c r="X12" i="1" a="1"/>
  <c r="X12" i="1" s="1"/>
  <c r="X6" i="1" a="1"/>
  <c r="X6" i="1" s="1"/>
  <c r="X17" i="1" a="1"/>
  <c r="X17" i="1" s="1"/>
  <c r="W9" i="1"/>
  <c r="X9" i="1" a="1"/>
  <c r="X9" i="1" s="1"/>
  <c r="W17" i="1"/>
  <c r="W11" i="1"/>
  <c r="X3" i="1" a="1"/>
  <c r="X3" i="1" s="1"/>
  <c r="W10" i="1"/>
  <c r="X18" i="1" a="1"/>
  <c r="X18" i="1" s="1"/>
  <c r="W18" i="1"/>
  <c r="X16" i="1" a="1"/>
  <c r="X16" i="1" s="1"/>
  <c r="W19" i="1"/>
  <c r="X19" i="1" a="1"/>
  <c r="X19" i="1" s="1"/>
  <c r="W8" i="1"/>
  <c r="X13" i="1" a="1"/>
  <c r="X13" i="1" s="1"/>
  <c r="W16" i="1"/>
  <c r="X4" i="1" a="1"/>
  <c r="X4" i="1" s="1"/>
  <c r="X5" i="1" a="1"/>
  <c r="X5" i="1" s="1"/>
  <c r="W3" i="1"/>
  <c r="W20" i="1"/>
  <c r="X20" i="1" a="1"/>
  <c r="X20" i="1" s="1"/>
  <c r="X10" i="1" a="1"/>
  <c r="X10" i="1" s="1"/>
  <c r="W4" i="1"/>
  <c r="X14" i="1" a="1"/>
  <c r="X14" i="1" s="1"/>
  <c r="W7" i="1"/>
  <c r="X15" i="1" a="1"/>
  <c r="X15" i="1" s="1"/>
  <c r="J7" i="1"/>
  <c r="I7" i="1"/>
  <c r="I4" i="1"/>
  <c r="J4" i="1"/>
  <c r="J3" i="1"/>
  <c r="J9" i="1"/>
  <c r="I9" i="1"/>
  <c r="I5" i="1"/>
  <c r="I13" i="1"/>
  <c r="I12" i="1"/>
  <c r="J13" i="1"/>
  <c r="J12" i="1"/>
  <c r="J10" i="1"/>
  <c r="I10" i="1"/>
  <c r="I8" i="1"/>
  <c r="J8" i="1"/>
  <c r="I11" i="1"/>
  <c r="J5" i="1"/>
  <c r="J11" i="1"/>
  <c r="I3" i="1"/>
  <c r="I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tc={76075EDD-7F64-4FF7-8796-21BF5F628143}</author>
  </authors>
  <commentList>
    <comment ref="T19" authorId="0" shapeId="0" xr:uid="{76075EDD-7F64-4FF7-8796-21BF5F6281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will keep this ETE under observation to determine if it is a consistent pattern or a rare occurrence.
Reply:
    @Siang-Yen Neng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<sst xmlns="http://schemas.openxmlformats.org/spreadsheetml/2006/main" count="38" uniqueCount="21">
  <si>
    <t>742A-1M</t>
  </si>
  <si>
    <t>PN010013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</si>
  <si>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</si>
  <si>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PN010013</t>
    </r>
  </si>
  <si>
    <t>PN010012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</si>
  <si>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</si>
  <si>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</si>
  <si>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</si>
  <si>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</si>
  <si>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</si>
  <si>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</si>
  <si>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</si>
  <si>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</si>
  <si>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</si>
  <si>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</si>
  <si>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</si>
  <si>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</si>
  <si>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</si>
  <si>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</si>
  <si>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PN010012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</si>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</sst>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0000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C00000"/>
      <name val="Calibri"/>
      <family val="2"/>
    </font>
    <font>
      <sz val="9"/>
      <color theme="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74F6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165" fontId="1" fillId="2" borderId="0" xfId="0" applyNumberFormat="1" applyFont="1" applyFill="1" applyAlignment="1">
      <alignment horizontal="center" vertical="center"/>
    </xf>
    <xf numFmtId="15" fontId="1" fillId="9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2" fontId="1" fillId="9" borderId="0" xfId="0" applyNumberFormat="1" applyFont="1" applyFill="1" applyAlignment="1">
      <alignment horizontal="center" vertical="center"/>
    </xf>
    <xf numFmtId="165" fontId="1" fillId="9" borderId="0" xfId="0" applyNumberFormat="1" applyFont="1" applyFill="1" applyAlignment="1">
      <alignment horizontal="center" vertical="center"/>
    </xf>
    <xf numFmtId="11" fontId="1" fillId="9" borderId="0" xfId="0" applyNumberFormat="1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PN010013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Ohm'!$F$2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'1M Ohm'!$C$3:$C$16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968</c:v>
                </c:pt>
                <c:pt idx="6">
                  <c:v>1458</c:v>
                </c:pt>
                <c:pt idx="7">
                  <c:v>1686</c:v>
                </c:pt>
                <c:pt idx="8">
                  <c:v>1893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'1M Ohm'!$F$3:$F$16</c:f>
              <c:numCache>
                <c:formatCode>0.0</c:formatCode>
                <c:ptCount val="14"/>
                <c:pt idx="0">
                  <c:v>1000004.6</c:v>
                </c:pt>
                <c:pt idx="1">
                  <c:v>1000004.5</c:v>
                </c:pt>
                <c:pt idx="2">
                  <c:v>1000004.4</c:v>
                </c:pt>
                <c:pt idx="3">
                  <c:v>1000004.8</c:v>
                </c:pt>
                <c:pt idx="4">
                  <c:v>1000004.3</c:v>
                </c:pt>
                <c:pt idx="5">
                  <c:v>1000004.9</c:v>
                </c:pt>
                <c:pt idx="6">
                  <c:v>1000005</c:v>
                </c:pt>
                <c:pt idx="7">
                  <c:v>1000003.6</c:v>
                </c:pt>
                <c:pt idx="8">
                  <c:v>1000004.8</c:v>
                </c:pt>
                <c:pt idx="9">
                  <c:v>1000005</c:v>
                </c:pt>
                <c:pt idx="10">
                  <c:v>1000005</c:v>
                </c:pt>
                <c:pt idx="11">
                  <c:v>1000004.6</c:v>
                </c:pt>
                <c:pt idx="12">
                  <c:v>1000004.5</c:v>
                </c:pt>
                <c:pt idx="13">
                  <c:v>1000004.4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2C-43D5-BF48-C5614FA529D4}"/>
            </c:ext>
          </c:extLst>
        </c:ser>
        <c:ser>
          <c:idx val="1"/>
          <c:order val="1"/>
          <c:tx>
            <c:strRef>
              <c:f>'1M Ohm'!$H$2</c:f>
              <c:strCache>
                <c:ptCount val="1"/>
                <c:pt idx="0">
                  <c:v>Prediction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Ohm'!$C$3:$C$16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968</c:v>
                </c:pt>
                <c:pt idx="6">
                  <c:v>1458</c:v>
                </c:pt>
                <c:pt idx="7">
                  <c:v>1686</c:v>
                </c:pt>
                <c:pt idx="8">
                  <c:v>1893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'1M Ohm'!$H$3:$H$16</c:f>
              <c:numCache>
                <c:formatCode>0.0</c:formatCode>
                <c:ptCount val="14"/>
                <c:pt idx="0">
                  <c:v>1000004.5436100932</c:v>
                </c:pt>
                <c:pt idx="1">
                  <c:v>1000004.555567888</c:v>
                </c:pt>
                <c:pt idx="2">
                  <c:v>1000004.5656701629</c:v>
                </c:pt>
                <c:pt idx="3">
                  <c:v>1000004.5771640777</c:v>
                </c:pt>
                <c:pt idx="4">
                  <c:v>1000004.5859777972</c:v>
                </c:pt>
                <c:pt idx="5">
                  <c:v>1000004.5935029611</c:v>
                </c:pt>
                <c:pt idx="6">
                  <c:v>1000004.6187586484</c:v>
                </c:pt>
                <c:pt idx="7">
                  <c:v>1000004.6305102743</c:v>
                </c:pt>
                <c:pt idx="8">
                  <c:v>1000004.6411795137</c:v>
                </c:pt>
                <c:pt idx="9">
                  <c:v>1000004.6520549218</c:v>
                </c:pt>
                <c:pt idx="10">
                  <c:v>1000004.6644250543</c:v>
                </c:pt>
                <c:pt idx="11">
                  <c:v>1000004.6804546844</c:v>
                </c:pt>
                <c:pt idx="12">
                  <c:v>1000004.6911239238</c:v>
                </c:pt>
                <c:pt idx="13">
                  <c:v>1000004.7056588295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2C-43D5-BF48-C5614FA5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Ohm'!$C$3:$C$16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968</c:v>
                </c:pt>
                <c:pt idx="6">
                  <c:v>1458</c:v>
                </c:pt>
                <c:pt idx="7">
                  <c:v>1686</c:v>
                </c:pt>
                <c:pt idx="8">
                  <c:v>1893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'1M Ohm'!$I$3:$I$16</c:f>
              <c:numCache>
                <c:formatCode>0.0</c:formatCode>
                <c:ptCount val="14"/>
                <c:pt idx="0">
                  <c:v>1000003.5542834703</c:v>
                </c:pt>
                <c:pt idx="1">
                  <c:v>1000003.5881133486</c:v>
                </c:pt>
                <c:pt idx="2">
                  <c:v>1000003.6138970209</c:v>
                </c:pt>
                <c:pt idx="3">
                  <c:v>1000003.6399439714</c:v>
                </c:pt>
                <c:pt idx="4">
                  <c:v>1000003.6574469404</c:v>
                </c:pt>
                <c:pt idx="5">
                  <c:v>1000003.6706422179</c:v>
                </c:pt>
                <c:pt idx="6">
                  <c:v>1000003.7028118806</c:v>
                </c:pt>
                <c:pt idx="7">
                  <c:v>1000003.7113413006</c:v>
                </c:pt>
                <c:pt idx="8">
                  <c:v>1000003.7155735045</c:v>
                </c:pt>
                <c:pt idx="9">
                  <c:v>1000003.7165209757</c:v>
                </c:pt>
                <c:pt idx="10">
                  <c:v>1000003.7136034705</c:v>
                </c:pt>
                <c:pt idx="11">
                  <c:v>1000003.7038212469</c:v>
                </c:pt>
                <c:pt idx="12">
                  <c:v>1000003.6937900551</c:v>
                </c:pt>
                <c:pt idx="13">
                  <c:v>1000003.6759472232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2C-43D5-BF48-C5614FA529D4}"/>
            </c:ext>
          </c:extLst>
        </c:ser>
        <c:ser>
          <c:idx val="3"/>
          <c:order val="3"/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Ohm'!$C$3:$C$16</c:f>
              <c:numCache>
                <c:formatCode>0</c:formatCode>
                <c:ptCount val="14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968</c:v>
                </c:pt>
                <c:pt idx="6">
                  <c:v>1458</c:v>
                </c:pt>
                <c:pt idx="7">
                  <c:v>1686</c:v>
                </c:pt>
                <c:pt idx="8">
                  <c:v>1893</c:v>
                </c:pt>
                <c:pt idx="9">
                  <c:v>2104</c:v>
                </c:pt>
                <c:pt idx="10">
                  <c:v>2344</c:v>
                </c:pt>
                <c:pt idx="11">
                  <c:v>2655</c:v>
                </c:pt>
                <c:pt idx="12">
                  <c:v>2862</c:v>
                </c:pt>
                <c:pt idx="13">
                  <c:v>3144</c:v>
                </c:pt>
              </c:numCache>
            </c:numRef>
          </c:xVal>
          <c:yVal>
            <c:numRef>
              <c:f>'1M Ohm'!$J$3:$J$16</c:f>
              <c:numCache>
                <c:formatCode>0.0</c:formatCode>
                <c:ptCount val="14"/>
                <c:pt idx="0">
                  <c:v>1000005.5329367161</c:v>
                </c:pt>
                <c:pt idx="1">
                  <c:v>1000005.5230224273</c:v>
                </c:pt>
                <c:pt idx="2">
                  <c:v>1000005.5174433049</c:v>
                </c:pt>
                <c:pt idx="3">
                  <c:v>1000005.5143841839</c:v>
                </c:pt>
                <c:pt idx="4">
                  <c:v>1000005.5145086539</c:v>
                </c:pt>
                <c:pt idx="5">
                  <c:v>1000005.5163637043</c:v>
                </c:pt>
                <c:pt idx="6">
                  <c:v>1000005.5347054162</c:v>
                </c:pt>
                <c:pt idx="7">
                  <c:v>1000005.549679248</c:v>
                </c:pt>
                <c:pt idx="8">
                  <c:v>1000005.5667855229</c:v>
                </c:pt>
                <c:pt idx="9">
                  <c:v>1000005.587588868</c:v>
                </c:pt>
                <c:pt idx="10">
                  <c:v>1000005.6152466382</c:v>
                </c:pt>
                <c:pt idx="11">
                  <c:v>1000005.657088122</c:v>
                </c:pt>
                <c:pt idx="12">
                  <c:v>1000005.6884577924</c:v>
                </c:pt>
                <c:pt idx="13">
                  <c:v>1000005.7353704359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2C-43D5-BF48-C5614FA52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PN010012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Ohm'!$T$2</c:f>
              <c:strCache>
                <c:ptCount val="1"/>
                <c:pt idx="0">
                  <c:v>Measured Value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0070C0"/>
              </a:solidFill>
              <a:ln w="9525" cap="rnd">
                <a:noFill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'1M Ohm'!$Q$3:$Q$23</c:f>
              <c:numCache>
                <c:formatCode>0</c:formatCode>
                <c:ptCount val="21"/>
                <c:pt idx="0">
                  <c:v>0</c:v>
                </c:pt>
                <c:pt idx="1">
                  <c:v>205</c:v>
                </c:pt>
                <c:pt idx="2">
                  <c:v>420</c:v>
                </c:pt>
                <c:pt idx="3">
                  <c:v>629</c:v>
                </c:pt>
                <c:pt idx="4">
                  <c:v>845</c:v>
                </c:pt>
                <c:pt idx="5">
                  <c:v>1063</c:v>
                </c:pt>
                <c:pt idx="6">
                  <c:v>1358</c:v>
                </c:pt>
                <c:pt idx="7">
                  <c:v>1665</c:v>
                </c:pt>
                <c:pt idx="8">
                  <c:v>1870</c:v>
                </c:pt>
                <c:pt idx="9">
                  <c:v>2073</c:v>
                </c:pt>
                <c:pt idx="10">
                  <c:v>2280</c:v>
                </c:pt>
                <c:pt idx="11">
                  <c:v>2652</c:v>
                </c:pt>
                <c:pt idx="12">
                  <c:v>2858</c:v>
                </c:pt>
                <c:pt idx="13">
                  <c:v>3123</c:v>
                </c:pt>
                <c:pt idx="14">
                  <c:v>3341</c:v>
                </c:pt>
                <c:pt idx="15">
                  <c:v>3550</c:v>
                </c:pt>
                <c:pt idx="16">
                  <c:v>3779</c:v>
                </c:pt>
                <c:pt idx="17">
                  <c:v>3995</c:v>
                </c:pt>
                <c:pt idx="18">
                  <c:v>4254</c:v>
                </c:pt>
                <c:pt idx="19">
                  <c:v>4527</c:v>
                </c:pt>
                <c:pt idx="20">
                  <c:v>4823</c:v>
                </c:pt>
              </c:numCache>
            </c:numRef>
          </c:xVal>
          <c:yVal>
            <c:numRef>
              <c:f>'1M Ohm'!$T$3:$T$23</c:f>
              <c:numCache>
                <c:formatCode>0.0</c:formatCode>
                <c:ptCount val="21"/>
                <c:pt idx="0">
                  <c:v>1000002.8</c:v>
                </c:pt>
                <c:pt idx="1">
                  <c:v>1000002.8</c:v>
                </c:pt>
                <c:pt idx="2">
                  <c:v>1000001.8</c:v>
                </c:pt>
                <c:pt idx="3">
                  <c:v>1000002.7</c:v>
                </c:pt>
                <c:pt idx="4">
                  <c:v>1000003.3</c:v>
                </c:pt>
                <c:pt idx="5">
                  <c:v>1000003.3</c:v>
                </c:pt>
                <c:pt idx="6">
                  <c:v>1000003.29</c:v>
                </c:pt>
                <c:pt idx="7">
                  <c:v>1000003.28</c:v>
                </c:pt>
                <c:pt idx="8">
                  <c:v>1000003.6</c:v>
                </c:pt>
                <c:pt idx="9">
                  <c:v>1000004.8</c:v>
                </c:pt>
                <c:pt idx="10">
                  <c:v>1000004.1</c:v>
                </c:pt>
                <c:pt idx="11">
                  <c:v>1000004.2</c:v>
                </c:pt>
                <c:pt idx="12">
                  <c:v>1000004.1</c:v>
                </c:pt>
                <c:pt idx="13">
                  <c:v>1000003.2</c:v>
                </c:pt>
                <c:pt idx="14">
                  <c:v>1000004.3</c:v>
                </c:pt>
                <c:pt idx="15">
                  <c:v>1000004.2</c:v>
                </c:pt>
                <c:pt idx="16">
                  <c:v>1000008.2</c:v>
                </c:pt>
                <c:pt idx="17">
                  <c:v>1000004.7</c:v>
                </c:pt>
                <c:pt idx="18">
                  <c:v>1000004</c:v>
                </c:pt>
                <c:pt idx="19">
                  <c:v>1000003.9</c:v>
                </c:pt>
                <c:pt idx="20">
                  <c:v>1000004.2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A-4B8B-A806-28B7769CC425}"/>
            </c:ext>
          </c:extLst>
        </c:ser>
        <c:ser>
          <c:idx val="1"/>
          <c:order val="1"/>
          <c:tx>
            <c:strRef>
              <c:f>'1M Ohm'!$V$2</c:f>
              <c:strCache>
                <c:ptCount val="1"/>
                <c:pt idx="0">
                  <c:v>Prediction</c:v>
                </c:pt>
              </c:strCache>
            </c:strRef>
          </c:tx>
          <c:spPr>
            <a:ln w="19050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Ohm'!$Q$3:$Q$23</c:f>
              <c:numCache>
                <c:formatCode>0</c:formatCode>
                <c:ptCount val="21"/>
                <c:pt idx="0">
                  <c:v>0</c:v>
                </c:pt>
                <c:pt idx="1">
                  <c:v>205</c:v>
                </c:pt>
                <c:pt idx="2">
                  <c:v>420</c:v>
                </c:pt>
                <c:pt idx="3">
                  <c:v>629</c:v>
                </c:pt>
                <c:pt idx="4">
                  <c:v>845</c:v>
                </c:pt>
                <c:pt idx="5">
                  <c:v>1063</c:v>
                </c:pt>
                <c:pt idx="6">
                  <c:v>1358</c:v>
                </c:pt>
                <c:pt idx="7">
                  <c:v>1665</c:v>
                </c:pt>
                <c:pt idx="8">
                  <c:v>1870</c:v>
                </c:pt>
                <c:pt idx="9">
                  <c:v>2073</c:v>
                </c:pt>
                <c:pt idx="10">
                  <c:v>2280</c:v>
                </c:pt>
                <c:pt idx="11">
                  <c:v>2652</c:v>
                </c:pt>
                <c:pt idx="12">
                  <c:v>2858</c:v>
                </c:pt>
                <c:pt idx="13">
                  <c:v>3123</c:v>
                </c:pt>
                <c:pt idx="14">
                  <c:v>3341</c:v>
                </c:pt>
                <c:pt idx="15">
                  <c:v>3550</c:v>
                </c:pt>
                <c:pt idx="16">
                  <c:v>3779</c:v>
                </c:pt>
                <c:pt idx="17">
                  <c:v>3995</c:v>
                </c:pt>
                <c:pt idx="18">
                  <c:v>4254</c:v>
                </c:pt>
                <c:pt idx="19">
                  <c:v>4527</c:v>
                </c:pt>
                <c:pt idx="20">
                  <c:v>4823</c:v>
                </c:pt>
              </c:numCache>
            </c:numRef>
          </c:xVal>
          <c:yVal>
            <c:numRef>
              <c:f>'1M Ohm'!$V$3:$V$23</c:f>
              <c:numCache>
                <c:formatCode>0.0</c:formatCode>
                <c:ptCount val="21"/>
                <c:pt idx="0">
                  <c:v>1000002.5899851199</c:v>
                </c:pt>
                <c:pt idx="1">
                  <c:v>1000002.704128825</c:v>
                </c:pt>
                <c:pt idx="2">
                  <c:v>1000002.8238405157</c:v>
                </c:pt>
                <c:pt idx="3">
                  <c:v>1000002.9402114149</c:v>
                </c:pt>
                <c:pt idx="4">
                  <c:v>1000003.0604799043</c:v>
                </c:pt>
                <c:pt idx="5">
                  <c:v>1000003.1818619906</c:v>
                </c:pt>
                <c:pt idx="6">
                  <c:v>1000003.3461175662</c:v>
                </c:pt>
                <c:pt idx="7">
                  <c:v>1000003.5170547245</c:v>
                </c:pt>
                <c:pt idx="8">
                  <c:v>1000003.6311984296</c:v>
                </c:pt>
                <c:pt idx="9">
                  <c:v>1000003.7442285377</c:v>
                </c:pt>
                <c:pt idx="10">
                  <c:v>1000003.8594858398</c:v>
                </c:pt>
                <c:pt idx="11">
                  <c:v>1000004.0666149047</c:v>
                </c:pt>
                <c:pt idx="12">
                  <c:v>1000004.1813154083</c:v>
                </c:pt>
                <c:pt idx="13">
                  <c:v>1000004.3288670271</c:v>
                </c:pt>
                <c:pt idx="14">
                  <c:v>1000004.4502491134</c:v>
                </c:pt>
                <c:pt idx="15">
                  <c:v>1000004.5666200127</c:v>
                </c:pt>
                <c:pt idx="16">
                  <c:v>1000004.6941268833</c:v>
                </c:pt>
                <c:pt idx="17">
                  <c:v>1000004.8143953725</c:v>
                </c:pt>
                <c:pt idx="18">
                  <c:v>1000004.9586061999</c:v>
                </c:pt>
                <c:pt idx="19">
                  <c:v>1000005.1106122072</c:v>
                </c:pt>
                <c:pt idx="20">
                  <c:v>1000005.2754245814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8A-4B8B-A806-28B7769C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Ohm'!$Q$3:$Q$23</c:f>
              <c:numCache>
                <c:formatCode>0</c:formatCode>
                <c:ptCount val="21"/>
                <c:pt idx="0">
                  <c:v>0</c:v>
                </c:pt>
                <c:pt idx="1">
                  <c:v>205</c:v>
                </c:pt>
                <c:pt idx="2">
                  <c:v>420</c:v>
                </c:pt>
                <c:pt idx="3">
                  <c:v>629</c:v>
                </c:pt>
                <c:pt idx="4">
                  <c:v>845</c:v>
                </c:pt>
                <c:pt idx="5">
                  <c:v>1063</c:v>
                </c:pt>
                <c:pt idx="6">
                  <c:v>1358</c:v>
                </c:pt>
                <c:pt idx="7">
                  <c:v>1665</c:v>
                </c:pt>
                <c:pt idx="8">
                  <c:v>1870</c:v>
                </c:pt>
                <c:pt idx="9">
                  <c:v>2073</c:v>
                </c:pt>
                <c:pt idx="10">
                  <c:v>2280</c:v>
                </c:pt>
                <c:pt idx="11">
                  <c:v>2652</c:v>
                </c:pt>
                <c:pt idx="12">
                  <c:v>2858</c:v>
                </c:pt>
                <c:pt idx="13">
                  <c:v>3123</c:v>
                </c:pt>
                <c:pt idx="14">
                  <c:v>3341</c:v>
                </c:pt>
                <c:pt idx="15">
                  <c:v>3550</c:v>
                </c:pt>
                <c:pt idx="16">
                  <c:v>3779</c:v>
                </c:pt>
                <c:pt idx="17">
                  <c:v>3995</c:v>
                </c:pt>
                <c:pt idx="18">
                  <c:v>4254</c:v>
                </c:pt>
                <c:pt idx="19">
                  <c:v>4527</c:v>
                </c:pt>
                <c:pt idx="20">
                  <c:v>4823</c:v>
                </c:pt>
              </c:numCache>
            </c:numRef>
          </c:xVal>
          <c:yVal>
            <c:numRef>
              <c:f>'1M Ohm'!$W$3:$W$23</c:f>
              <c:numCache>
                <c:formatCode>0.0</c:formatCode>
                <c:ptCount val="21"/>
                <c:pt idx="0">
                  <c:v>1000000.2715798127</c:v>
                </c:pt>
                <c:pt idx="1">
                  <c:v>1000000.4079729904</c:v>
                </c:pt>
                <c:pt idx="2">
                  <c:v>1000000.5489100103</c:v>
                </c:pt>
                <c:pt idx="3">
                  <c:v>1000000.6837868164</c:v>
                </c:pt>
                <c:pt idx="4">
                  <c:v>1000000.8209217633</c:v>
                </c:pt>
                <c:pt idx="5">
                  <c:v>1000000.9569455364</c:v>
                </c:pt>
                <c:pt idx="6">
                  <c:v>1000001.1371228443</c:v>
                </c:pt>
                <c:pt idx="7">
                  <c:v>1000001.3197832352</c:v>
                </c:pt>
                <c:pt idx="8">
                  <c:v>1000001.4389630287</c:v>
                </c:pt>
                <c:pt idx="9">
                  <c:v>1000001.5547581509</c:v>
                </c:pt>
                <c:pt idx="10">
                  <c:v>1000001.6705494242</c:v>
                </c:pt>
                <c:pt idx="11">
                  <c:v>1000001.8728371202</c:v>
                </c:pt>
                <c:pt idx="12">
                  <c:v>1000001.9816647129</c:v>
                </c:pt>
                <c:pt idx="13">
                  <c:v>1000002.1183499201</c:v>
                </c:pt>
                <c:pt idx="14">
                  <c:v>1000002.2280349554</c:v>
                </c:pt>
                <c:pt idx="15">
                  <c:v>1000002.330892521</c:v>
                </c:pt>
                <c:pt idx="16">
                  <c:v>1000002.4410575646</c:v>
                </c:pt>
                <c:pt idx="17">
                  <c:v>1000002.542592084</c:v>
                </c:pt>
                <c:pt idx="18">
                  <c:v>1000002.6613788364</c:v>
                </c:pt>
                <c:pt idx="19">
                  <c:v>1000002.7832023521</c:v>
                </c:pt>
                <c:pt idx="20">
                  <c:v>1000002.911517504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8A-4B8B-A806-28B7769CC425}"/>
            </c:ext>
          </c:extLst>
        </c:ser>
        <c:ser>
          <c:idx val="3"/>
          <c:order val="3"/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'1M Ohm'!$Q$3:$Q$23</c:f>
              <c:numCache>
                <c:formatCode>0</c:formatCode>
                <c:ptCount val="21"/>
                <c:pt idx="0">
                  <c:v>0</c:v>
                </c:pt>
                <c:pt idx="1">
                  <c:v>205</c:v>
                </c:pt>
                <c:pt idx="2">
                  <c:v>420</c:v>
                </c:pt>
                <c:pt idx="3">
                  <c:v>629</c:v>
                </c:pt>
                <c:pt idx="4">
                  <c:v>845</c:v>
                </c:pt>
                <c:pt idx="5">
                  <c:v>1063</c:v>
                </c:pt>
                <c:pt idx="6">
                  <c:v>1358</c:v>
                </c:pt>
                <c:pt idx="7">
                  <c:v>1665</c:v>
                </c:pt>
                <c:pt idx="8">
                  <c:v>1870</c:v>
                </c:pt>
                <c:pt idx="9">
                  <c:v>2073</c:v>
                </c:pt>
                <c:pt idx="10">
                  <c:v>2280</c:v>
                </c:pt>
                <c:pt idx="11">
                  <c:v>2652</c:v>
                </c:pt>
                <c:pt idx="12">
                  <c:v>2858</c:v>
                </c:pt>
                <c:pt idx="13">
                  <c:v>3123</c:v>
                </c:pt>
                <c:pt idx="14">
                  <c:v>3341</c:v>
                </c:pt>
                <c:pt idx="15">
                  <c:v>3550</c:v>
                </c:pt>
                <c:pt idx="16">
                  <c:v>3779</c:v>
                </c:pt>
                <c:pt idx="17">
                  <c:v>3995</c:v>
                </c:pt>
                <c:pt idx="18">
                  <c:v>4254</c:v>
                </c:pt>
                <c:pt idx="19">
                  <c:v>4527</c:v>
                </c:pt>
                <c:pt idx="20">
                  <c:v>4823</c:v>
                </c:pt>
              </c:numCache>
            </c:numRef>
          </c:xVal>
          <c:yVal>
            <c:numRef>
              <c:f>'1M Ohm'!$X$3:$X$23</c:f>
              <c:numCache>
                <c:formatCode>0.0</c:formatCode>
                <c:ptCount val="21"/>
                <c:pt idx="0">
                  <c:v>1000004.908390427</c:v>
                </c:pt>
                <c:pt idx="1">
                  <c:v>1000005.0002846596</c:v>
                </c:pt>
                <c:pt idx="2">
                  <c:v>1000005.0987710211</c:v>
                </c:pt>
                <c:pt idx="3">
                  <c:v>1000005.1966360135</c:v>
                </c:pt>
                <c:pt idx="4">
                  <c:v>1000005.3000380453</c:v>
                </c:pt>
                <c:pt idx="5">
                  <c:v>1000005.4067784448</c:v>
                </c:pt>
                <c:pt idx="6">
                  <c:v>1000005.5551122881</c:v>
                </c:pt>
                <c:pt idx="7">
                  <c:v>1000005.7143262138</c:v>
                </c:pt>
                <c:pt idx="8">
                  <c:v>1000005.8234338305</c:v>
                </c:pt>
                <c:pt idx="9">
                  <c:v>1000005.9336989244</c:v>
                </c:pt>
                <c:pt idx="10">
                  <c:v>1000006.0484222554</c:v>
                </c:pt>
                <c:pt idx="11">
                  <c:v>1000006.2603926891</c:v>
                </c:pt>
                <c:pt idx="12">
                  <c:v>1000006.3809661038</c:v>
                </c:pt>
                <c:pt idx="13">
                  <c:v>1000006.539384134</c:v>
                </c:pt>
                <c:pt idx="14">
                  <c:v>1000006.6724632713</c:v>
                </c:pt>
                <c:pt idx="15">
                  <c:v>1000006.8023475045</c:v>
                </c:pt>
                <c:pt idx="16">
                  <c:v>1000006.947196202</c:v>
                </c:pt>
                <c:pt idx="17">
                  <c:v>1000007.086198661</c:v>
                </c:pt>
                <c:pt idx="18">
                  <c:v>1000007.2558335635</c:v>
                </c:pt>
                <c:pt idx="19">
                  <c:v>1000007.4380220623</c:v>
                </c:pt>
                <c:pt idx="20">
                  <c:v>1000007.6393316587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8A-4B8B-A806-28B7769CC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4554551388843902E-2"/>
          <c:y val="0.82849799161845106"/>
          <c:w val="0.82644001876743534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22</xdr:row>
      <xdr:rowOff>42022</xdr:rowOff>
    </xdr:from>
    <xdr:to>
      <xdr:col>9</xdr:col>
      <xdr:colOff>476699</xdr:colOff>
      <xdr:row>43</xdr:row>
      <xdr:rowOff>42022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3A6B46-8F3B-43DA-83E6-1F52FBEFC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491378</xdr:colOff>
      <xdr:row>25</xdr:row>
      <xdr:rowOff>60960</xdr:rowOff>
    </xdr:from>
    <xdr:to>
      <xdr:col>22</xdr:col>
      <xdr:colOff>454623</xdr:colOff>
      <xdr:row>46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20B1A-2D7D-474B-97D1-9DFD59E03BF1}"/>
            </a:ext>
            <a:ext uri="{147F2762-F138-4A5C-976F-8EAC2B608ADB}">
              <a16:predDERef xmlns:a16="http://schemas.microsoft.com/office/drawing/2014/main" pred="{B33A6B46-8F3B-43DA-83E6-1F52FBEFCE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iyanang\Desktop\1%20Ohm.xlsx" TargetMode="External"/><Relationship Id="rId1" Type="http://schemas.openxmlformats.org/officeDocument/2006/relationships/externalLinkPath" Target="https://keysighttech.sharepoint.com/sites/PG3458AGoldCal/Shared%20Documents/ETEs%20Performance%20and%20Management/Resistance%20Standards/1%20O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 Ohm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ang-Yen Neng" id="{24DC52D4-7778-4DF5-9FC0-1614796A50F9}" userId="siang-yen_neng@keysight.com" providerId="PeoplePicker"/>
  <person displayName="Zi-Yang Ang" id="{CF7699F9-93D5-4664-94FD-D454F7392D52}" userId="S::zi-yang.ang@non.keysight.com::6ec80dae-b2a0-4d1b-90f8-6d857c105e2d" providerId="AD"/>
</personList>
</file>

<file path=xl/theme/theme1.xml><?xml version="1.0" encoding="utf-8"?>
<a:theme xmlns:a="http://schemas.openxmlformats.org/drawingml/2006/main" name="Office Theme">
  <a:themeElements>
    <a:clrScheme name="Refreshed Keysight Theme">
      <a:dk1>
        <a:sysClr val="windowText" lastClr="000000"/>
      </a:dk1>
      <a:lt1>
        <a:srgbClr val="FFFFFF"/>
      </a:lt1>
      <a:dk2>
        <a:srgbClr val="A4A1A9"/>
      </a:dk2>
      <a:lt2>
        <a:srgbClr val="FFA623"/>
      </a:lt2>
      <a:accent1>
        <a:srgbClr val="E90029"/>
      </a:accent1>
      <a:accent2>
        <a:srgbClr val="E76C27"/>
      </a:accent2>
      <a:accent3>
        <a:srgbClr val="8D3785"/>
      </a:accent3>
      <a:accent4>
        <a:srgbClr val="5B348A"/>
      </a:accent4>
      <a:accent5>
        <a:srgbClr val="225792"/>
      </a:accent5>
      <a:accent6>
        <a:srgbClr val="07858B"/>
      </a:accent6>
      <a:hlink>
        <a:srgbClr val="E90029"/>
      </a:hlink>
      <a:folHlink>
        <a:srgbClr val="74001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9" dT="2024-07-25T06:48:46.47" personId="{CF7699F9-93D5-4664-94FD-D454F7392D52}" id="{76075EDD-7F64-4FF7-8796-21BF5F628143}">
    <text>We will keep this ETE under observation to determine if it is a consistent pattern or a rare occurrence.</text>
  </threadedComment>
  <threadedComment ref="T19" dT="2024-07-25T06:48:53.06" personId="{CF7699F9-93D5-4664-94FD-D454F7392D52}" id="{612670CC-0639-498A-8B0A-B7FC5AB33F42}" parentId="{76075EDD-7F64-4FF7-8796-21BF5F628143}">
    <text xml:space="preserve">@Siang-Yen Neng </text>
    <mentions>
      <mention mentionpersonId="{24DC52D4-7778-4DF5-9FC0-1614796A50F9}" mentionId="{1DCD1038-DFBE-484B-A78A-7CB4AAE2973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E0A0-8FA9-4561-BDCC-F1766358132E}">
  <sheetPr>
    <tabColor theme="9" tint="0.39997558519241921"/>
  </sheetPr>
  <dimension ref="A1:X1048576"/>
  <sheetViews>
    <sheetView tabSelected="1" topLeftCell="B1" zoomScaleNormal="100" workbookViewId="0">
      <selection activeCell="U23" sqref="U23"/>
    </sheetView>
  </sheetViews>
  <sheetFormatPr defaultColWidth="8.81640625" defaultRowHeight="11.5" x14ac:dyDescent="0.35"/>
  <cols>
    <col min="1" max="1" width="11" style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0.453125" style="1" bestFit="1" customWidth="1"/>
    <col min="7" max="7" width="8.26953125" style="1" bestFit="1" customWidth="1"/>
    <col min="8" max="8" width="12.453125" style="1" bestFit="1" customWidth="1"/>
    <col min="9" max="9" width="13.54296875" style="1" bestFit="1" customWidth="1"/>
    <col min="10" max="10" width="12.453125" style="1" bestFit="1" customWidth="1"/>
    <col min="11" max="11" width="1" style="1" customWidth="1"/>
    <col min="12" max="12" width="8.453125" style="1" bestFit="1" customWidth="1"/>
    <col min="13" max="13" width="12" style="1" bestFit="1" customWidth="1"/>
    <col min="14" max="14" width="1" style="1" customWidth="1"/>
    <col min="15" max="15" width="10.54296875" style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20" width="11.453125" style="1" bestFit="1" customWidth="1"/>
    <col min="21" max="21" width="8.26953125" style="1" bestFit="1" customWidth="1"/>
    <col min="22" max="23" width="12.453125" style="1" bestFit="1" customWidth="1"/>
    <col min="24" max="24" width="12.54296875" style="1" bestFit="1" customWidth="1"/>
    <col min="25" max="16384" width="8.81640625" style="1"/>
  </cols>
  <sheetData>
    <row r="1" spans="1:24" ht="12" x14ac:dyDescent="0.35">
      <c r="A1" s="10"/>
      <c r="B1" s="8" t="s">
        <v>0</v>
      </c>
      <c r="C1" s="11" t="s">
        <v>1</v>
      </c>
      <c r="D1" s="23">
        <v>7565005</v>
      </c>
      <c r="E1" s="10"/>
      <c r="F1" s="10"/>
      <c r="G1" s="10"/>
      <c r="H1" s="24" t="s">
        <v>2</v>
      </c>
      <c r="I1" s="24"/>
      <c r="J1" s="24"/>
      <c r="K1" s="13"/>
      <c r="L1" s="25" t="s">
        <v>3</v>
      </c>
      <c r="M1" s="25"/>
      <c r="N1" s="13"/>
      <c r="O1" s="10"/>
      <c r="P1" s="8" t="s">
        <v>0</v>
      </c>
      <c r="Q1" s="11" t="s">
        <v>4</v>
      </c>
      <c r="R1" s="11">
        <v>7597003</v>
      </c>
      <c r="S1" s="10"/>
      <c r="T1" s="10"/>
      <c r="U1" s="10"/>
      <c r="V1" s="24" t="s">
        <v>2</v>
      </c>
      <c r="W1" s="24"/>
      <c r="X1" s="24"/>
    </row>
    <row r="2" spans="1:24" ht="13.15" customHeight="1" x14ac:dyDescent="0.35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9" t="s">
        <v>20</v>
      </c>
      <c r="G2" s="8" t="s">
        <v>10</v>
      </c>
      <c r="H2" s="12" t="s">
        <v>11</v>
      </c>
      <c r="I2" s="12" t="s">
        <v>12</v>
      </c>
      <c r="J2" s="12" t="s">
        <v>13</v>
      </c>
      <c r="K2" s="13"/>
      <c r="L2" s="14" t="s">
        <v>14</v>
      </c>
      <c r="M2" s="15">
        <f ca="1">COUNT(Known_ys_PN010013)</f>
        <v>13</v>
      </c>
      <c r="N2" s="13"/>
      <c r="O2" s="8" t="s">
        <v>5</v>
      </c>
      <c r="P2" s="8" t="s">
        <v>6</v>
      </c>
      <c r="Q2" s="8" t="s">
        <v>7</v>
      </c>
      <c r="R2" s="8" t="s">
        <v>8</v>
      </c>
      <c r="S2" s="8" t="s">
        <v>9</v>
      </c>
      <c r="T2" s="9" t="s">
        <v>20</v>
      </c>
      <c r="U2" s="8" t="s">
        <v>10</v>
      </c>
      <c r="V2" s="12" t="s">
        <v>11</v>
      </c>
      <c r="W2" s="12" t="s">
        <v>12</v>
      </c>
      <c r="X2" s="12" t="s">
        <v>13</v>
      </c>
    </row>
    <row r="3" spans="1:24" x14ac:dyDescent="0.35">
      <c r="A3" s="7">
        <v>42864</v>
      </c>
      <c r="B3" s="5">
        <v>0</v>
      </c>
      <c r="C3" s="5">
        <v>0</v>
      </c>
      <c r="D3" s="3">
        <f t="shared" ref="D3:D11" si="0">(F3-1000000)/1000000*1000000</f>
        <v>4.5999999999767169</v>
      </c>
      <c r="E3" s="3"/>
      <c r="F3" s="6">
        <v>1000004.6</v>
      </c>
      <c r="G3" s="2">
        <f>1.8</f>
        <v>1.8</v>
      </c>
      <c r="H3" s="17">
        <f t="shared" ref="H3:H16" ca="1" si="1">_xlfn.FORECAST.LINEAR($C3,Known_ys_PN010013,Known_xs_PN010013)</f>
        <v>1000004.5436100932</v>
      </c>
      <c r="I3" s="17">
        <f t="shared" ref="I3:I16" ca="1" si="2">$H3-ABS(_xlfn.T.INV(0.025,df_PN010013))*(Syx_PN010013*SQRT(1+1/n_PN010013+($C3-XBar_PN010013)^2/SSx_PN010013))</f>
        <v>1000003.5542834703</v>
      </c>
      <c r="J3" s="17">
        <f t="shared" ref="J3:J16" ca="1" si="3">$H3+ABS(_xlfn.T.INV(0.025,df_PN010013))*(Syx_PN010013*SQRT(1+1/n_PN010013+($C3-XBar_PN010013)^2/SSx_PN010013))</f>
        <v>1000005.5329367161</v>
      </c>
      <c r="K3" s="13"/>
      <c r="L3" s="14" t="s">
        <v>15</v>
      </c>
      <c r="M3" s="15">
        <f ca="1">n_PN010013-2</f>
        <v>11</v>
      </c>
      <c r="N3" s="13"/>
      <c r="O3" s="7">
        <v>41318</v>
      </c>
      <c r="P3" s="5">
        <v>0</v>
      </c>
      <c r="Q3" s="5">
        <v>0</v>
      </c>
      <c r="R3" s="3">
        <f t="shared" ref="R3:R17" si="4">(T3-1000000)/1000000*1000000</f>
        <v>2.8000000000465661</v>
      </c>
      <c r="S3" s="3"/>
      <c r="T3" s="6">
        <v>1000002.8</v>
      </c>
      <c r="U3" s="2">
        <v>2.8</v>
      </c>
      <c r="V3" s="17">
        <f t="shared" ref="V3:V23" ca="1" si="5">_xlfn.FORECAST.LINEAR($Q3,Known_ys_PN010012,Known_xs_PN010012)</f>
        <v>1000002.5899851199</v>
      </c>
      <c r="W3" s="17">
        <f t="shared" ref="W3:W23" ca="1" si="6">$V3-ABS(_xlfn.T.INV(0.025,df_PN010012))*(Syx_PN010012*SQRT(1+1/n_PN010012+($Q3-XBar_PN010012)^2/SSx_PN010012))</f>
        <v>1000000.2715798127</v>
      </c>
      <c r="X3" s="17" cm="1">
        <f t="array" aca="1" ref="X3" ca="1">$V3+ABS(_xlfn.T.INV(0.025,df_PN010012))*(Syx_PN010012*SQRT(1+1/n_PN010012+($Q3-XBar_PN010012)^2/SSx_PN010012))</f>
        <v>1000004.908390427</v>
      </c>
    </row>
    <row r="4" spans="1:24" x14ac:dyDescent="0.35">
      <c r="A4" s="7">
        <v>43096</v>
      </c>
      <c r="B4" s="5">
        <f t="shared" ref="B4:B11" si="7">A4-A3</f>
        <v>232</v>
      </c>
      <c r="C4" s="5">
        <f>SUM(B$4:B4)</f>
        <v>232</v>
      </c>
      <c r="D4" s="3">
        <f t="shared" si="0"/>
        <v>4.5</v>
      </c>
      <c r="E4" s="6">
        <f t="shared" ref="E4:E11" si="8">D4-D3</f>
        <v>-9.9999999976716936E-2</v>
      </c>
      <c r="F4" s="6">
        <v>1000004.5</v>
      </c>
      <c r="G4" s="2">
        <v>1.4</v>
      </c>
      <c r="H4" s="17">
        <f t="shared" ca="1" si="1"/>
        <v>1000004.555567888</v>
      </c>
      <c r="I4" s="17">
        <f t="shared" ca="1" si="2"/>
        <v>1000003.5881133486</v>
      </c>
      <c r="J4" s="17">
        <f t="shared" ca="1" si="3"/>
        <v>1000005.5230224273</v>
      </c>
      <c r="K4" s="13"/>
      <c r="L4" s="14" t="s">
        <v>16</v>
      </c>
      <c r="M4" s="15">
        <f ca="1">AVERAGE(Known_xs_PN010013)</f>
        <v>1392.5384615384614</v>
      </c>
      <c r="N4" s="13"/>
      <c r="O4" s="7">
        <v>41523</v>
      </c>
      <c r="P4" s="5">
        <f t="shared" ref="P4:P17" si="9">O4-O3</f>
        <v>205</v>
      </c>
      <c r="Q4" s="5">
        <f>SUM(P$4:P4)</f>
        <v>205</v>
      </c>
      <c r="R4" s="3">
        <f t="shared" si="4"/>
        <v>2.8000000000465661</v>
      </c>
      <c r="S4" s="6">
        <f t="shared" ref="S4:S17" si="10">R4-R3</f>
        <v>0</v>
      </c>
      <c r="T4" s="6">
        <v>1000002.8</v>
      </c>
      <c r="U4" s="2">
        <v>2.6</v>
      </c>
      <c r="V4" s="17">
        <f t="shared" ca="1" si="5"/>
        <v>1000002.704128825</v>
      </c>
      <c r="W4" s="17">
        <f t="shared" ca="1" si="6"/>
        <v>1000000.4079729904</v>
      </c>
      <c r="X4" s="17" cm="1">
        <f t="array" aca="1" ref="X4" ca="1">$V4+ABS(_xlfn.T.INV(0.025,df_PN010012))*(Syx_PN010012*SQRT(1+1/n_PN010012+($Q4-XBar_PN010012)^2/SSx_PN010012))</f>
        <v>1000005.0002846596</v>
      </c>
    </row>
    <row r="5" spans="1:24" x14ac:dyDescent="0.35">
      <c r="A5" s="7">
        <v>43292</v>
      </c>
      <c r="B5" s="5">
        <f t="shared" si="7"/>
        <v>196</v>
      </c>
      <c r="C5" s="5">
        <f>SUM(B$4:B5)</f>
        <v>428</v>
      </c>
      <c r="D5" s="3">
        <f t="shared" si="0"/>
        <v>4.4000000000232831</v>
      </c>
      <c r="E5" s="6">
        <f t="shared" si="8"/>
        <v>-9.9999999976716936E-2</v>
      </c>
      <c r="F5" s="6">
        <v>1000004.4</v>
      </c>
      <c r="G5" s="2">
        <v>1.4</v>
      </c>
      <c r="H5" s="17">
        <f t="shared" ca="1" si="1"/>
        <v>1000004.5656701629</v>
      </c>
      <c r="I5" s="17">
        <f t="shared" ca="1" si="2"/>
        <v>1000003.6138970209</v>
      </c>
      <c r="J5" s="17">
        <f t="shared" ca="1" si="3"/>
        <v>1000005.5174433049</v>
      </c>
      <c r="K5" s="13"/>
      <c r="L5" s="14" t="s">
        <v>17</v>
      </c>
      <c r="M5" s="15">
        <f ca="1">STEYX(Known_ys_PN010013,Known_xs_PN010013)</f>
        <v>0.40094113950792659</v>
      </c>
      <c r="N5" s="13"/>
      <c r="O5" s="7">
        <v>41738</v>
      </c>
      <c r="P5" s="5">
        <f t="shared" si="9"/>
        <v>215</v>
      </c>
      <c r="Q5" s="5">
        <f>SUM(P$4:P5)</f>
        <v>420</v>
      </c>
      <c r="R5" s="3">
        <f t="shared" si="4"/>
        <v>1.8000000000465661</v>
      </c>
      <c r="S5" s="6">
        <f t="shared" si="10"/>
        <v>-1</v>
      </c>
      <c r="T5" s="6">
        <v>1000001.8</v>
      </c>
      <c r="U5" s="2">
        <v>1.66</v>
      </c>
      <c r="V5" s="17">
        <f t="shared" ca="1" si="5"/>
        <v>1000002.8238405157</v>
      </c>
      <c r="W5" s="17">
        <f t="shared" ca="1" si="6"/>
        <v>1000000.5489100103</v>
      </c>
      <c r="X5" s="17" cm="1">
        <f t="array" aca="1" ref="X5" ca="1">$V5+ABS(_xlfn.T.INV(0.025,df_PN010012))*(Syx_PN010012*SQRT(1+1/n_PN010012+($Q5-XBar_PN010012)^2/SSx_PN010012))</f>
        <v>1000005.0987710211</v>
      </c>
    </row>
    <row r="6" spans="1:24" x14ac:dyDescent="0.35">
      <c r="A6" s="7">
        <v>43515</v>
      </c>
      <c r="B6" s="5">
        <f t="shared" si="7"/>
        <v>223</v>
      </c>
      <c r="C6" s="5">
        <f>SUM(B$4:B6)</f>
        <v>651</v>
      </c>
      <c r="D6" s="3">
        <f t="shared" si="0"/>
        <v>4.8000000000465661</v>
      </c>
      <c r="E6" s="6">
        <f t="shared" si="8"/>
        <v>0.40000000002328306</v>
      </c>
      <c r="F6" s="6">
        <v>1000004.8</v>
      </c>
      <c r="G6" s="2">
        <v>1.4</v>
      </c>
      <c r="H6" s="17">
        <f t="shared" ca="1" si="1"/>
        <v>1000004.5771640777</v>
      </c>
      <c r="I6" s="17">
        <f t="shared" ca="1" si="2"/>
        <v>1000003.6399439714</v>
      </c>
      <c r="J6" s="17">
        <f t="shared" ca="1" si="3"/>
        <v>1000005.5143841839</v>
      </c>
      <c r="K6" s="13"/>
      <c r="L6" s="14" t="s">
        <v>18</v>
      </c>
      <c r="M6" s="15">
        <f ca="1">DEVSQ(Known_xs_PN010013)</f>
        <v>10777423.230769232</v>
      </c>
      <c r="N6" s="13"/>
      <c r="O6" s="7">
        <v>41947</v>
      </c>
      <c r="P6" s="5">
        <f t="shared" si="9"/>
        <v>209</v>
      </c>
      <c r="Q6" s="5">
        <f>SUM(P$4:P6)</f>
        <v>629</v>
      </c>
      <c r="R6" s="3">
        <f t="shared" si="4"/>
        <v>2.6999999999534339</v>
      </c>
      <c r="S6" s="6">
        <f t="shared" si="10"/>
        <v>0.89999999990686774</v>
      </c>
      <c r="T6" s="6">
        <v>1000002.7</v>
      </c>
      <c r="U6" s="2">
        <v>1.66</v>
      </c>
      <c r="V6" s="17">
        <f t="shared" ca="1" si="5"/>
        <v>1000002.9402114149</v>
      </c>
      <c r="W6" s="17">
        <f t="shared" ca="1" si="6"/>
        <v>1000000.6837868164</v>
      </c>
      <c r="X6" s="17" cm="1">
        <f t="array" aca="1" ref="X6" ca="1">$V6+ABS(_xlfn.T.INV(0.025,df_PN010012))*(Syx_PN010012*SQRT(1+1/n_PN010012+($Q6-XBar_PN010012)^2/SSx_PN010012))</f>
        <v>1000005.1966360135</v>
      </c>
    </row>
    <row r="7" spans="1:24" x14ac:dyDescent="0.35">
      <c r="A7" s="7">
        <v>43686</v>
      </c>
      <c r="B7" s="5">
        <f t="shared" si="7"/>
        <v>171</v>
      </c>
      <c r="C7" s="5">
        <f>SUM(B$4:B7)</f>
        <v>822</v>
      </c>
      <c r="D7" s="3">
        <f t="shared" si="0"/>
        <v>4.3000000000465661</v>
      </c>
      <c r="E7" s="6">
        <f t="shared" si="8"/>
        <v>-0.5</v>
      </c>
      <c r="F7" s="6">
        <v>1000004.3</v>
      </c>
      <c r="G7" s="2">
        <v>1.4</v>
      </c>
      <c r="H7" s="17">
        <f t="shared" ca="1" si="1"/>
        <v>1000004.5859777972</v>
      </c>
      <c r="I7" s="17">
        <f t="shared" ca="1" si="2"/>
        <v>1000003.6574469404</v>
      </c>
      <c r="J7" s="17">
        <f t="shared" ca="1" si="3"/>
        <v>1000005.5145086539</v>
      </c>
      <c r="K7" s="13"/>
      <c r="L7" s="13"/>
      <c r="M7" s="13"/>
      <c r="N7" s="13"/>
      <c r="O7" s="7">
        <v>42163</v>
      </c>
      <c r="P7" s="5">
        <f t="shared" si="9"/>
        <v>216</v>
      </c>
      <c r="Q7" s="5">
        <f>SUM(P$4:P7)</f>
        <v>845</v>
      </c>
      <c r="R7" s="3">
        <f t="shared" si="4"/>
        <v>3.3000000000465661</v>
      </c>
      <c r="S7" s="6">
        <f t="shared" si="10"/>
        <v>0.60000000009313226</v>
      </c>
      <c r="T7" s="6">
        <v>1000003.3</v>
      </c>
      <c r="U7" s="2">
        <v>1.66</v>
      </c>
      <c r="V7" s="17">
        <f t="shared" ca="1" si="5"/>
        <v>1000003.0604799043</v>
      </c>
      <c r="W7" s="17">
        <f t="shared" ca="1" si="6"/>
        <v>1000000.8209217633</v>
      </c>
      <c r="X7" s="17" cm="1">
        <f t="array" aca="1" ref="X7" ca="1">$V7+ABS(_xlfn.T.INV(0.025,df_PN010012))*(Syx_PN010012*SQRT(1+1/n_PN010012+($Q7-XBar_PN010012)^2/SSx_PN010012))</f>
        <v>1000005.3000380453</v>
      </c>
    </row>
    <row r="8" spans="1:24" ht="12" x14ac:dyDescent="0.35">
      <c r="A8" s="7">
        <v>43832</v>
      </c>
      <c r="B8" s="5">
        <f t="shared" si="7"/>
        <v>146</v>
      </c>
      <c r="C8" s="5">
        <f>SUM(B$4:B8)</f>
        <v>968</v>
      </c>
      <c r="D8" s="3">
        <f t="shared" si="0"/>
        <v>4.9000000000232831</v>
      </c>
      <c r="E8" s="6">
        <f t="shared" si="8"/>
        <v>0.59999999997671694</v>
      </c>
      <c r="F8" s="6">
        <v>1000004.9</v>
      </c>
      <c r="G8" s="2">
        <v>1.4</v>
      </c>
      <c r="H8" s="17">
        <f t="shared" ca="1" si="1"/>
        <v>1000004.5935029611</v>
      </c>
      <c r="I8" s="17">
        <f t="shared" ca="1" si="2"/>
        <v>1000003.6706422179</v>
      </c>
      <c r="J8" s="17">
        <f t="shared" ca="1" si="3"/>
        <v>1000005.5163637043</v>
      </c>
      <c r="K8" s="13"/>
      <c r="L8" s="25" t="s">
        <v>19</v>
      </c>
      <c r="M8" s="25"/>
      <c r="N8" s="13"/>
      <c r="O8" s="7">
        <v>42381</v>
      </c>
      <c r="P8" s="5">
        <f t="shared" si="9"/>
        <v>218</v>
      </c>
      <c r="Q8" s="5">
        <f>SUM(P$4:P8)</f>
        <v>1063</v>
      </c>
      <c r="R8" s="3">
        <f t="shared" si="4"/>
        <v>3.3000000000465661</v>
      </c>
      <c r="S8" s="6">
        <f t="shared" si="10"/>
        <v>0</v>
      </c>
      <c r="T8" s="6">
        <v>1000003.3</v>
      </c>
      <c r="U8" s="2">
        <v>1.66</v>
      </c>
      <c r="V8" s="17">
        <f t="shared" ca="1" si="5"/>
        <v>1000003.1818619906</v>
      </c>
      <c r="W8" s="17">
        <f t="shared" ca="1" si="6"/>
        <v>1000000.9569455364</v>
      </c>
      <c r="X8" s="17" cm="1">
        <f t="array" aca="1" ref="X8" ca="1">$V8+ABS(_xlfn.T.INV(0.025,df_PN010012))*(Syx_PN010012*SQRT(1+1/n_PN010012+($Q8-XBar_PN010012)^2/SSx_PN010012))</f>
        <v>1000005.4067784448</v>
      </c>
    </row>
    <row r="9" spans="1:24" x14ac:dyDescent="0.35">
      <c r="A9" s="7">
        <v>44322</v>
      </c>
      <c r="B9" s="5">
        <f t="shared" si="7"/>
        <v>490</v>
      </c>
      <c r="C9" s="5">
        <f>SUM(B$4:B9)</f>
        <v>1458</v>
      </c>
      <c r="D9" s="3">
        <f t="shared" si="0"/>
        <v>5</v>
      </c>
      <c r="E9" s="6">
        <f t="shared" si="8"/>
        <v>9.9999999976716936E-2</v>
      </c>
      <c r="F9" s="6">
        <v>1000005</v>
      </c>
      <c r="G9" s="2">
        <v>1.4</v>
      </c>
      <c r="H9" s="17">
        <f t="shared" ca="1" si="1"/>
        <v>1000004.6187586484</v>
      </c>
      <c r="I9" s="17">
        <f t="shared" ca="1" si="2"/>
        <v>1000003.7028118806</v>
      </c>
      <c r="J9" s="17">
        <f t="shared" ca="1" si="3"/>
        <v>1000005.5347054162</v>
      </c>
      <c r="K9" s="13"/>
      <c r="L9" s="14" t="s">
        <v>14</v>
      </c>
      <c r="M9" s="15">
        <f ca="1">COUNT(Known_ys_PN010012)</f>
        <v>20</v>
      </c>
      <c r="N9" s="13"/>
      <c r="O9" s="7">
        <v>42676</v>
      </c>
      <c r="P9" s="5">
        <f t="shared" si="9"/>
        <v>295</v>
      </c>
      <c r="Q9" s="5">
        <f>SUM(P$4:P9)</f>
        <v>1358</v>
      </c>
      <c r="R9" s="3">
        <f t="shared" si="4"/>
        <v>3.2900000000372529</v>
      </c>
      <c r="S9" s="6">
        <f t="shared" si="10"/>
        <v>-1.0000000009313226E-2</v>
      </c>
      <c r="T9" s="6">
        <v>1000003.29</v>
      </c>
      <c r="U9" s="2">
        <v>1.8</v>
      </c>
      <c r="V9" s="17">
        <f t="shared" ca="1" si="5"/>
        <v>1000003.3461175662</v>
      </c>
      <c r="W9" s="17">
        <f t="shared" ca="1" si="6"/>
        <v>1000001.1371228443</v>
      </c>
      <c r="X9" s="17" cm="1">
        <f t="array" aca="1" ref="X9" ca="1">$V9+ABS(_xlfn.T.INV(0.025,df_PN010012))*(Syx_PN010012*SQRT(1+1/n_PN010012+($Q9-XBar_PN010012)^2/SSx_PN010012))</f>
        <v>1000005.5551122881</v>
      </c>
    </row>
    <row r="10" spans="1:24" x14ac:dyDescent="0.35">
      <c r="A10" s="7">
        <v>44550</v>
      </c>
      <c r="B10" s="5">
        <f t="shared" si="7"/>
        <v>228</v>
      </c>
      <c r="C10" s="5">
        <f>SUM(B$4:B10)</f>
        <v>1686</v>
      </c>
      <c r="D10" s="3">
        <f t="shared" si="0"/>
        <v>3.5999999999767169</v>
      </c>
      <c r="E10" s="6">
        <f t="shared" si="8"/>
        <v>-1.4000000000232831</v>
      </c>
      <c r="F10" s="6">
        <v>1000003.6</v>
      </c>
      <c r="G10" s="2">
        <v>1.4</v>
      </c>
      <c r="H10" s="17">
        <f t="shared" ca="1" si="1"/>
        <v>1000004.6305102743</v>
      </c>
      <c r="I10" s="17">
        <f t="shared" ca="1" si="2"/>
        <v>1000003.7113413006</v>
      </c>
      <c r="J10" s="17">
        <f t="shared" ca="1" si="3"/>
        <v>1000005.549679248</v>
      </c>
      <c r="K10" s="13"/>
      <c r="L10" s="14" t="s">
        <v>15</v>
      </c>
      <c r="M10" s="15">
        <f ca="1">n_PN010012-2</f>
        <v>18</v>
      </c>
      <c r="N10" s="13"/>
      <c r="O10" s="7">
        <v>42983</v>
      </c>
      <c r="P10" s="5">
        <f t="shared" si="9"/>
        <v>307</v>
      </c>
      <c r="Q10" s="5">
        <f>SUM(P$4:P10)</f>
        <v>1665</v>
      </c>
      <c r="R10" s="3">
        <f t="shared" si="4"/>
        <v>3.2800000000279397</v>
      </c>
      <c r="S10" s="6">
        <f t="shared" si="10"/>
        <v>-1.0000000009313226E-2</v>
      </c>
      <c r="T10" s="6">
        <v>1000003.28</v>
      </c>
      <c r="U10" s="2">
        <v>0.71</v>
      </c>
      <c r="V10" s="17">
        <f t="shared" ca="1" si="5"/>
        <v>1000003.5170547245</v>
      </c>
      <c r="W10" s="17">
        <f t="shared" ca="1" si="6"/>
        <v>1000001.3197832352</v>
      </c>
      <c r="X10" s="17" cm="1">
        <f t="array" aca="1" ref="X10" ca="1">$V10+ABS(_xlfn.T.INV(0.025,df_PN010012))*(Syx_PN010012*SQRT(1+1/n_PN010012+($Q10-XBar_PN010012)^2/SSx_PN010012))</f>
        <v>1000005.7143262138</v>
      </c>
    </row>
    <row r="11" spans="1:24" x14ac:dyDescent="0.35">
      <c r="A11" s="7">
        <v>44757</v>
      </c>
      <c r="B11" s="5">
        <f t="shared" si="7"/>
        <v>207</v>
      </c>
      <c r="C11" s="5">
        <f>SUM(B$4:B11)</f>
        <v>1893</v>
      </c>
      <c r="D11" s="3">
        <f t="shared" si="0"/>
        <v>4.8000000000465661</v>
      </c>
      <c r="E11" s="6">
        <f t="shared" si="8"/>
        <v>1.2000000000698492</v>
      </c>
      <c r="F11" s="6">
        <v>1000004.8</v>
      </c>
      <c r="G11" s="2">
        <v>1.4</v>
      </c>
      <c r="H11" s="17">
        <f t="shared" ca="1" si="1"/>
        <v>1000004.6411795137</v>
      </c>
      <c r="I11" s="17">
        <f t="shared" ca="1" si="2"/>
        <v>1000003.7155735045</v>
      </c>
      <c r="J11" s="17">
        <f t="shared" ca="1" si="3"/>
        <v>1000005.5667855229</v>
      </c>
      <c r="K11" s="13"/>
      <c r="L11" s="14" t="s">
        <v>16</v>
      </c>
      <c r="M11" s="15">
        <f ca="1">AVERAGE(Known_xs_PN010012)</f>
        <v>2224.35</v>
      </c>
      <c r="N11" s="13"/>
      <c r="O11" s="7">
        <v>43188</v>
      </c>
      <c r="P11" s="5">
        <f t="shared" si="9"/>
        <v>205</v>
      </c>
      <c r="Q11" s="5">
        <f>SUM(P$4:P11)</f>
        <v>1870</v>
      </c>
      <c r="R11" s="3">
        <f t="shared" si="4"/>
        <v>3.5999999999767169</v>
      </c>
      <c r="S11" s="6">
        <f t="shared" si="10"/>
        <v>0.31999999994877726</v>
      </c>
      <c r="T11" s="6">
        <v>1000003.6</v>
      </c>
      <c r="U11" s="2">
        <v>0.71</v>
      </c>
      <c r="V11" s="17">
        <f t="shared" ca="1" si="5"/>
        <v>1000003.6311984296</v>
      </c>
      <c r="W11" s="17">
        <f t="shared" ca="1" si="6"/>
        <v>1000001.4389630287</v>
      </c>
      <c r="X11" s="17" cm="1">
        <f t="array" aca="1" ref="X11" ca="1">$V11+ABS(_xlfn.T.INV(0.025,df_PN010012))*(Syx_PN010012*SQRT(1+1/n_PN010012+($Q11-XBar_PN010012)^2/SSx_PN010012))</f>
        <v>1000005.8234338305</v>
      </c>
    </row>
    <row r="12" spans="1:24" x14ac:dyDescent="0.35">
      <c r="A12" s="7">
        <v>44968</v>
      </c>
      <c r="B12" s="5">
        <f t="shared" ref="B12:B13" si="11">A12-A11</f>
        <v>211</v>
      </c>
      <c r="C12" s="5">
        <f>SUM(B$4:B12)</f>
        <v>2104</v>
      </c>
      <c r="D12" s="3">
        <f t="shared" ref="D12:D13" si="12">(F12-1000000)/1000000*1000000</f>
        <v>5</v>
      </c>
      <c r="E12" s="6">
        <f t="shared" ref="E12:E13" si="13">D12-D11</f>
        <v>0.19999999995343387</v>
      </c>
      <c r="F12" s="6">
        <v>1000005</v>
      </c>
      <c r="G12" s="2">
        <v>1.4</v>
      </c>
      <c r="H12" s="17">
        <f t="shared" ca="1" si="1"/>
        <v>1000004.6520549218</v>
      </c>
      <c r="I12" s="17">
        <f t="shared" ca="1" si="2"/>
        <v>1000003.7165209757</v>
      </c>
      <c r="J12" s="17">
        <f t="shared" ca="1" si="3"/>
        <v>1000005.587588868</v>
      </c>
      <c r="K12" s="13"/>
      <c r="L12" s="14" t="s">
        <v>17</v>
      </c>
      <c r="M12" s="15">
        <f ca="1">STEYX(Known_ys_PN010012,Known_xs_PN010012)</f>
        <v>1.016744881660661</v>
      </c>
      <c r="N12" s="13"/>
      <c r="O12" s="7">
        <v>43391</v>
      </c>
      <c r="P12" s="5">
        <f t="shared" si="9"/>
        <v>203</v>
      </c>
      <c r="Q12" s="5">
        <f>SUM(P$4:P12)</f>
        <v>2073</v>
      </c>
      <c r="R12" s="3">
        <f t="shared" si="4"/>
        <v>4.8000000000465661</v>
      </c>
      <c r="S12" s="6">
        <f t="shared" si="10"/>
        <v>1.2000000000698492</v>
      </c>
      <c r="T12" s="6">
        <v>1000004.8</v>
      </c>
      <c r="U12" s="2">
        <v>0.71</v>
      </c>
      <c r="V12" s="17">
        <f t="shared" ca="1" si="5"/>
        <v>1000003.7442285377</v>
      </c>
      <c r="W12" s="17">
        <f t="shared" ca="1" si="6"/>
        <v>1000001.5547581509</v>
      </c>
      <c r="X12" s="17" cm="1">
        <f t="array" aca="1" ref="X12" ca="1">$V12+ABS(_xlfn.T.INV(0.025,df_PN010012))*(Syx_PN010012*SQRT(1+1/n_PN010012+($Q12-XBar_PN010012)^2/SSx_PN010012))</f>
        <v>1000005.9336989244</v>
      </c>
    </row>
    <row r="13" spans="1:24" x14ac:dyDescent="0.35">
      <c r="A13" s="7">
        <v>45208</v>
      </c>
      <c r="B13" s="5">
        <f t="shared" si="11"/>
        <v>240</v>
      </c>
      <c r="C13" s="5">
        <f>SUM(B$4:B13)</f>
        <v>2344</v>
      </c>
      <c r="D13" s="3">
        <f t="shared" si="12"/>
        <v>5</v>
      </c>
      <c r="E13" s="6">
        <f t="shared" si="13"/>
        <v>0</v>
      </c>
      <c r="F13" s="6">
        <v>1000005</v>
      </c>
      <c r="G13" s="2">
        <v>1.4</v>
      </c>
      <c r="H13" s="17">
        <f t="shared" ca="1" si="1"/>
        <v>1000004.6644250543</v>
      </c>
      <c r="I13" s="17">
        <f t="shared" ca="1" si="2"/>
        <v>1000003.7136034705</v>
      </c>
      <c r="J13" s="17">
        <f t="shared" ca="1" si="3"/>
        <v>1000005.6152466382</v>
      </c>
      <c r="K13" s="13"/>
      <c r="L13" s="14" t="s">
        <v>18</v>
      </c>
      <c r="M13" s="15">
        <f ca="1">DEVSQ(Known_xs_PN010012)</f>
        <v>38662708.550000004</v>
      </c>
      <c r="N13" s="13"/>
      <c r="O13" s="7">
        <v>43598</v>
      </c>
      <c r="P13" s="5">
        <f t="shared" si="9"/>
        <v>207</v>
      </c>
      <c r="Q13" s="5">
        <f>SUM(P$4:P13)</f>
        <v>2280</v>
      </c>
      <c r="R13" s="3">
        <f t="shared" si="4"/>
        <v>4.0999999999767169</v>
      </c>
      <c r="S13" s="6">
        <f t="shared" si="10"/>
        <v>-0.70000000006984919</v>
      </c>
      <c r="T13" s="6">
        <v>1000004.1</v>
      </c>
      <c r="U13" s="2">
        <v>1.4</v>
      </c>
      <c r="V13" s="17">
        <f t="shared" ca="1" si="5"/>
        <v>1000003.8594858398</v>
      </c>
      <c r="W13" s="17">
        <f t="shared" ca="1" si="6"/>
        <v>1000001.6705494242</v>
      </c>
      <c r="X13" s="17" cm="1">
        <f t="array" aca="1" ref="X13" ca="1">$V13+ABS(_xlfn.T.INV(0.025,df_PN010012))*(Syx_PN010012*SQRT(1+1/n_PN010012+($Q13-XBar_PN010012)^2/SSx_PN010012))</f>
        <v>1000006.0484222554</v>
      </c>
    </row>
    <row r="14" spans="1:24" x14ac:dyDescent="0.35">
      <c r="A14" s="7">
        <v>45519</v>
      </c>
      <c r="B14" s="5">
        <f t="shared" ref="B14" si="14">A14-A13</f>
        <v>311</v>
      </c>
      <c r="C14" s="5">
        <f>SUM(B$4:B14)</f>
        <v>2655</v>
      </c>
      <c r="D14" s="3">
        <f t="shared" ref="D14" si="15">(F14-1000000)/1000000*1000000</f>
        <v>4.5999999999767169</v>
      </c>
      <c r="E14" s="6">
        <f t="shared" ref="E14" si="16">D14-D13</f>
        <v>-0.40000000002328306</v>
      </c>
      <c r="F14" s="6">
        <v>1000004.6</v>
      </c>
      <c r="G14" s="2">
        <v>1.4</v>
      </c>
      <c r="H14" s="17">
        <f t="shared" ca="1" si="1"/>
        <v>1000004.6804546844</v>
      </c>
      <c r="I14" s="17">
        <f t="shared" ca="1" si="2"/>
        <v>1000003.7038212469</v>
      </c>
      <c r="J14" s="17">
        <f t="shared" ca="1" si="3"/>
        <v>1000005.657088122</v>
      </c>
      <c r="K14" s="13"/>
      <c r="L14" s="16"/>
      <c r="M14" s="16"/>
      <c r="N14" s="13"/>
      <c r="O14" s="7">
        <v>43970</v>
      </c>
      <c r="P14" s="5">
        <f t="shared" si="9"/>
        <v>372</v>
      </c>
      <c r="Q14" s="5">
        <f>SUM(P$4:P14)</f>
        <v>2652</v>
      </c>
      <c r="R14" s="3">
        <f t="shared" si="4"/>
        <v>4.1999999999534339</v>
      </c>
      <c r="S14" s="6">
        <f t="shared" si="10"/>
        <v>9.9999999976716936E-2</v>
      </c>
      <c r="T14" s="6">
        <v>1000004.2</v>
      </c>
      <c r="U14" s="2">
        <v>1.4</v>
      </c>
      <c r="V14" s="17">
        <f t="shared" ca="1" si="5"/>
        <v>1000004.0666149047</v>
      </c>
      <c r="W14" s="17">
        <f t="shared" ca="1" si="6"/>
        <v>1000001.8728371202</v>
      </c>
      <c r="X14" s="17" cm="1">
        <f t="array" aca="1" ref="X14" ca="1">$V14+ABS(_xlfn.T.INV(0.025,df_PN010012))*(Syx_PN010012*SQRT(1+1/n_PN010012+($Q14-XBar_PN010012)^2/SSx_PN010012))</f>
        <v>1000006.2603926891</v>
      </c>
    </row>
    <row r="15" spans="1:24" x14ac:dyDescent="0.35">
      <c r="A15" s="7">
        <v>45726</v>
      </c>
      <c r="B15" s="5">
        <f t="shared" ref="B15" si="17">A15-A14</f>
        <v>207</v>
      </c>
      <c r="C15" s="5">
        <f>SUM(B$4:B15)</f>
        <v>2862</v>
      </c>
      <c r="D15" s="3">
        <f t="shared" ref="D15" si="18">(F15-1000000)/1000000*1000000</f>
        <v>4.5</v>
      </c>
      <c r="E15" s="6">
        <f t="shared" ref="E15" si="19">D15-D14</f>
        <v>-9.9999999976716936E-2</v>
      </c>
      <c r="F15" s="6">
        <v>1000004.5</v>
      </c>
      <c r="G15" s="2">
        <v>1.4</v>
      </c>
      <c r="H15" s="17">
        <f t="shared" ca="1" si="1"/>
        <v>1000004.6911239238</v>
      </c>
      <c r="I15" s="17">
        <f t="shared" ca="1" si="2"/>
        <v>1000003.6937900551</v>
      </c>
      <c r="J15" s="17">
        <f t="shared" ca="1" si="3"/>
        <v>1000005.6884577924</v>
      </c>
      <c r="K15" s="2"/>
      <c r="L15" s="2"/>
      <c r="M15" s="2"/>
      <c r="O15" s="7">
        <v>44176</v>
      </c>
      <c r="P15" s="5">
        <f t="shared" si="9"/>
        <v>206</v>
      </c>
      <c r="Q15" s="5">
        <f>SUM(P$4:P15)</f>
        <v>2858</v>
      </c>
      <c r="R15" s="3">
        <f t="shared" si="4"/>
        <v>4.0999999999767169</v>
      </c>
      <c r="S15" s="6">
        <f t="shared" si="10"/>
        <v>-9.9999999976716936E-2</v>
      </c>
      <c r="T15" s="6">
        <v>1000004.1</v>
      </c>
      <c r="U15" s="2">
        <v>1.4</v>
      </c>
      <c r="V15" s="17">
        <f t="shared" ca="1" si="5"/>
        <v>1000004.1813154083</v>
      </c>
      <c r="W15" s="17">
        <f t="shared" ca="1" si="6"/>
        <v>1000001.9816647129</v>
      </c>
      <c r="X15" s="17" cm="1">
        <f t="array" aca="1" ref="X15" ca="1">$V15+ABS(_xlfn.T.INV(0.025,df_PN010012))*(Syx_PN010012*SQRT(1+1/n_PN010012+($Q15-XBar_PN010012)^2/SSx_PN010012))</f>
        <v>1000006.3809661038</v>
      </c>
    </row>
    <row r="16" spans="1:24" x14ac:dyDescent="0.35">
      <c r="A16" s="7">
        <v>46008</v>
      </c>
      <c r="B16" s="5">
        <f t="shared" ref="B16" si="20">A16-A15</f>
        <v>282</v>
      </c>
      <c r="C16" s="5">
        <f>SUM(B$4:B16)</f>
        <v>3144</v>
      </c>
      <c r="D16" s="3">
        <f t="shared" ref="D16" si="21">(F16-1000000)/1000000*1000000</f>
        <v>4.4000000000232831</v>
      </c>
      <c r="E16" s="6">
        <f t="shared" ref="E16" si="22">D16-D15</f>
        <v>-9.9999999976716936E-2</v>
      </c>
      <c r="F16" s="6">
        <v>1000004.4</v>
      </c>
      <c r="G16" s="2">
        <v>1.4</v>
      </c>
      <c r="H16" s="17">
        <f t="shared" ca="1" si="1"/>
        <v>1000004.7056588295</v>
      </c>
      <c r="I16" s="17">
        <f t="shared" ca="1" si="2"/>
        <v>1000003.6759472232</v>
      </c>
      <c r="J16" s="17">
        <f t="shared" ca="1" si="3"/>
        <v>1000005.7353704359</v>
      </c>
      <c r="K16" s="2"/>
      <c r="L16" s="2"/>
      <c r="M16" s="2"/>
      <c r="O16" s="7">
        <v>44441</v>
      </c>
      <c r="P16" s="5">
        <f t="shared" si="9"/>
        <v>265</v>
      </c>
      <c r="Q16" s="5">
        <f>SUM(P$4:P16)</f>
        <v>3123</v>
      </c>
      <c r="R16" s="3">
        <f t="shared" si="4"/>
        <v>3.1999999999534339</v>
      </c>
      <c r="S16" s="6">
        <f t="shared" si="10"/>
        <v>-0.90000000002328306</v>
      </c>
      <c r="T16" s="6">
        <v>1000003.2</v>
      </c>
      <c r="U16" s="2">
        <v>1.4</v>
      </c>
      <c r="V16" s="17">
        <f t="shared" ca="1" si="5"/>
        <v>1000004.3288670271</v>
      </c>
      <c r="W16" s="17">
        <f t="shared" ca="1" si="6"/>
        <v>1000002.1183499201</v>
      </c>
      <c r="X16" s="17" cm="1">
        <f t="array" aca="1" ref="X16" ca="1">$V16+ABS(_xlfn.T.INV(0.025,df_PN010012))*(Syx_PN010012*SQRT(1+1/n_PN010012+($Q16-XBar_PN010012)^2/SSx_PN010012))</f>
        <v>1000006.539384134</v>
      </c>
    </row>
    <row r="17" spans="1:24" x14ac:dyDescent="0.35">
      <c r="A17" s="7"/>
      <c r="B17" s="5"/>
      <c r="C17" s="5"/>
      <c r="D17" s="3"/>
      <c r="E17" s="6"/>
      <c r="F17" s="4"/>
      <c r="G17" s="2"/>
      <c r="H17" s="2"/>
      <c r="I17" s="2"/>
      <c r="J17" s="2"/>
      <c r="K17" s="2"/>
      <c r="L17" s="2"/>
      <c r="M17" s="2"/>
      <c r="O17" s="7">
        <v>44659</v>
      </c>
      <c r="P17" s="5">
        <f t="shared" si="9"/>
        <v>218</v>
      </c>
      <c r="Q17" s="5">
        <f>SUM(P$4:P17)</f>
        <v>3341</v>
      </c>
      <c r="R17" s="3">
        <f t="shared" si="4"/>
        <v>4.3000000000465661</v>
      </c>
      <c r="S17" s="6">
        <f t="shared" si="10"/>
        <v>1.1000000000931323</v>
      </c>
      <c r="T17" s="6">
        <v>1000004.3</v>
      </c>
      <c r="U17" s="2">
        <v>1.4</v>
      </c>
      <c r="V17" s="17">
        <f t="shared" ca="1" si="5"/>
        <v>1000004.4502491134</v>
      </c>
      <c r="W17" s="17">
        <f t="shared" ca="1" si="6"/>
        <v>1000002.2280349554</v>
      </c>
      <c r="X17" s="17" cm="1">
        <f t="array" aca="1" ref="X17" ca="1">$V17+ABS(_xlfn.T.INV(0.025,df_PN010012))*(Syx_PN010012*SQRT(1+1/n_PN010012+($Q17-XBar_PN010012)^2/SSx_PN010012))</f>
        <v>1000006.6724632713</v>
      </c>
    </row>
    <row r="18" spans="1:24" x14ac:dyDescent="0.35">
      <c r="A18" s="7"/>
      <c r="B18" s="5"/>
      <c r="C18" s="5"/>
      <c r="D18" s="3"/>
      <c r="E18" s="6"/>
      <c r="F18" s="4"/>
      <c r="G18" s="2"/>
      <c r="H18" s="2"/>
      <c r="I18" s="2"/>
      <c r="J18" s="2"/>
      <c r="K18" s="2"/>
      <c r="L18" s="2"/>
      <c r="M18" s="2"/>
      <c r="O18" s="7">
        <v>44868</v>
      </c>
      <c r="P18" s="5">
        <f t="shared" ref="P18:P20" si="23">O18-O17</f>
        <v>209</v>
      </c>
      <c r="Q18" s="5">
        <f>SUM(P$4:P18)</f>
        <v>3550</v>
      </c>
      <c r="R18" s="3">
        <f t="shared" ref="R18:R20" si="24">(T18-1000000)/1000000*1000000</f>
        <v>4.1999999999534339</v>
      </c>
      <c r="S18" s="6">
        <f t="shared" ref="S18:S20" si="25">R18-R17</f>
        <v>-0.10000000009313226</v>
      </c>
      <c r="T18" s="6">
        <v>1000004.2</v>
      </c>
      <c r="U18" s="2">
        <v>1.4</v>
      </c>
      <c r="V18" s="17">
        <f t="shared" ca="1" si="5"/>
        <v>1000004.5666200127</v>
      </c>
      <c r="W18" s="17">
        <f t="shared" ca="1" si="6"/>
        <v>1000002.330892521</v>
      </c>
      <c r="X18" s="17" cm="1">
        <f t="array" aca="1" ref="X18" ca="1">$V18+ABS(_xlfn.T.INV(0.025,df_PN010012))*(Syx_PN010012*SQRT(1+1/n_PN010012+($Q18-XBar_PN010012)^2/SSx_PN010012))</f>
        <v>1000006.8023475045</v>
      </c>
    </row>
    <row r="19" spans="1:24" x14ac:dyDescent="0.35">
      <c r="A19" s="7"/>
      <c r="B19" s="5"/>
      <c r="C19" s="5"/>
      <c r="D19" s="3"/>
      <c r="E19" s="6"/>
      <c r="F19" s="4"/>
      <c r="G19" s="2"/>
      <c r="H19" s="2"/>
      <c r="I19" s="2"/>
      <c r="J19" s="2"/>
      <c r="K19" s="2"/>
      <c r="L19" s="2"/>
      <c r="M19" s="2"/>
      <c r="O19" s="18">
        <v>45097</v>
      </c>
      <c r="P19" s="19">
        <f t="shared" si="23"/>
        <v>229</v>
      </c>
      <c r="Q19" s="19">
        <f>SUM(P$4:P19)</f>
        <v>3779</v>
      </c>
      <c r="R19" s="20">
        <f t="shared" si="24"/>
        <v>8.1999999999534339</v>
      </c>
      <c r="S19" s="21">
        <f t="shared" si="25"/>
        <v>4</v>
      </c>
      <c r="T19" s="21">
        <v>1000008.2</v>
      </c>
      <c r="U19" s="22">
        <v>1.4</v>
      </c>
      <c r="V19" s="21">
        <f t="shared" ca="1" si="5"/>
        <v>1000004.6941268833</v>
      </c>
      <c r="W19" s="21">
        <f t="shared" ca="1" si="6"/>
        <v>1000002.4410575646</v>
      </c>
      <c r="X19" s="21" cm="1">
        <f t="array" aca="1" ref="X19" ca="1">$V19+ABS(_xlfn.T.INV(0.025,df_PN010012))*(Syx_PN010012*SQRT(1+1/n_PN010012+($Q19-XBar_PN010012)^2/SSx_PN010012))</f>
        <v>1000006.947196202</v>
      </c>
    </row>
    <row r="20" spans="1:24" x14ac:dyDescent="0.35">
      <c r="A20" s="7"/>
      <c r="B20" s="5"/>
      <c r="C20" s="5"/>
      <c r="D20" s="3"/>
      <c r="E20" s="6"/>
      <c r="G20" s="2"/>
      <c r="H20" s="2"/>
      <c r="I20" s="2"/>
      <c r="J20" s="2"/>
      <c r="K20" s="2"/>
      <c r="L20" s="2"/>
      <c r="M20" s="2"/>
      <c r="O20" s="7">
        <v>45313</v>
      </c>
      <c r="P20" s="5">
        <f t="shared" si="23"/>
        <v>216</v>
      </c>
      <c r="Q20" s="5">
        <f>SUM(P$4:P20)</f>
        <v>3995</v>
      </c>
      <c r="R20" s="3">
        <f t="shared" si="24"/>
        <v>4.6999999999534339</v>
      </c>
      <c r="S20" s="6">
        <f t="shared" si="25"/>
        <v>-3.5</v>
      </c>
      <c r="T20" s="6">
        <v>1000004.7</v>
      </c>
      <c r="U20" s="2">
        <v>1.4</v>
      </c>
      <c r="V20" s="17">
        <f t="shared" ca="1" si="5"/>
        <v>1000004.8143953725</v>
      </c>
      <c r="W20" s="17">
        <f t="shared" ca="1" si="6"/>
        <v>1000002.542592084</v>
      </c>
      <c r="X20" s="17" cm="1">
        <f t="array" aca="1" ref="X20" ca="1">$V20+ABS(_xlfn.T.INV(0.025,df_PN010012))*(Syx_PN010012*SQRT(1+1/n_PN010012+($Q20-XBar_PN010012)^2/SSx_PN010012))</f>
        <v>1000007.086198661</v>
      </c>
    </row>
    <row r="21" spans="1:24" x14ac:dyDescent="0.35">
      <c r="A21" s="7"/>
      <c r="B21" s="5"/>
      <c r="C21" s="5"/>
      <c r="D21" s="3"/>
      <c r="E21" s="6"/>
      <c r="G21" s="2"/>
      <c r="H21" s="2"/>
      <c r="I21" s="2"/>
      <c r="J21" s="2"/>
      <c r="K21" s="2"/>
      <c r="L21" s="2"/>
      <c r="M21" s="2"/>
      <c r="O21" s="7">
        <v>45572</v>
      </c>
      <c r="P21" s="5">
        <f t="shared" ref="P21" si="26">O21-O20</f>
        <v>259</v>
      </c>
      <c r="Q21" s="5">
        <f>SUM(P$4:P21)</f>
        <v>4254</v>
      </c>
      <c r="R21" s="3">
        <f t="shared" ref="R21" si="27">(T21-1000000)/1000000*1000000</f>
        <v>4</v>
      </c>
      <c r="S21" s="6">
        <f t="shared" ref="S21" si="28">R21-R20</f>
        <v>-0.69999999995343387</v>
      </c>
      <c r="T21" s="6">
        <v>1000004</v>
      </c>
      <c r="U21" s="2">
        <v>1.4</v>
      </c>
      <c r="V21" s="17">
        <f t="shared" ca="1" si="5"/>
        <v>1000004.9586061999</v>
      </c>
      <c r="W21" s="17">
        <f t="shared" ca="1" si="6"/>
        <v>1000002.6613788364</v>
      </c>
      <c r="X21" s="17" cm="1">
        <f t="array" aca="1" ref="X21" ca="1">$V21+ABS(_xlfn.T.INV(0.025,df_PN010012))*(Syx_PN010012*SQRT(1+1/n_PN010012+($Q21-XBar_PN010012)^2/SSx_PN010012))</f>
        <v>1000007.2558335635</v>
      </c>
    </row>
    <row r="22" spans="1:24" ht="14.5" x14ac:dyDescent="0.35">
      <c r="K22"/>
      <c r="L22"/>
      <c r="M22"/>
      <c r="N22"/>
      <c r="O22" s="7">
        <v>45845</v>
      </c>
      <c r="P22" s="5">
        <f t="shared" ref="P22" si="29">O22-O21</f>
        <v>273</v>
      </c>
      <c r="Q22" s="5">
        <f>SUM(P$4:P22)</f>
        <v>4527</v>
      </c>
      <c r="R22" s="3">
        <f t="shared" ref="R22" si="30">(T22-1000000)/1000000*1000000</f>
        <v>3.9000000000232831</v>
      </c>
      <c r="S22" s="6">
        <f t="shared" ref="S22" si="31">R22-R21</f>
        <v>-9.9999999976716936E-2</v>
      </c>
      <c r="T22" s="6">
        <v>1000003.9</v>
      </c>
      <c r="U22" s="2">
        <v>1.4</v>
      </c>
      <c r="V22" s="17">
        <f t="shared" ca="1" si="5"/>
        <v>1000005.1106122072</v>
      </c>
      <c r="W22" s="17">
        <f t="shared" ca="1" si="6"/>
        <v>1000002.7832023521</v>
      </c>
      <c r="X22" s="17" cm="1">
        <f t="array" aca="1" ref="X22" ca="1">$V22+ABS(_xlfn.T.INV(0.025,df_PN010012))*(Syx_PN010012*SQRT(1+1/n_PN010012+($Q22-XBar_PN010012)^2/SSx_PN010012))</f>
        <v>1000007.4380220623</v>
      </c>
    </row>
    <row r="23" spans="1:24" x14ac:dyDescent="0.35">
      <c r="B23" s="5"/>
      <c r="O23" s="7">
        <v>46141</v>
      </c>
      <c r="P23" s="5">
        <f t="shared" ref="P23" si="32">O23-O22</f>
        <v>296</v>
      </c>
      <c r="Q23" s="5">
        <f>SUM(P$4:P23)</f>
        <v>4823</v>
      </c>
      <c r="R23" s="3">
        <f t="shared" ref="R23" si="33">(T23-1000000)/1000000*1000000</f>
        <v>4.1999999999534339</v>
      </c>
      <c r="S23" s="6">
        <f t="shared" ref="S23" si="34">R23-R22</f>
        <v>0.29999999993015081</v>
      </c>
      <c r="T23" s="6">
        <v>1000004.2</v>
      </c>
      <c r="U23" s="2">
        <v>1.4</v>
      </c>
      <c r="V23" s="17">
        <f t="shared" ca="1" si="5"/>
        <v>1000005.2754245814</v>
      </c>
      <c r="W23" s="17">
        <f t="shared" ca="1" si="6"/>
        <v>1000002.911517504</v>
      </c>
      <c r="X23" s="17" cm="1">
        <f t="array" aca="1" ref="X23" ca="1">$V23+ABS(_xlfn.T.INV(0.025,df_PN010012))*(Syx_PN010012*SQRT(1+1/n_PN010012+($Q23-XBar_PN010012)^2/SSx_PN010012))</f>
        <v>1000007.6393316587</v>
      </c>
    </row>
    <row r="24" spans="1:24" x14ac:dyDescent="0.35">
      <c r="B24" s="5"/>
    </row>
    <row r="25" spans="1:24" x14ac:dyDescent="0.35">
      <c r="B25" s="5"/>
    </row>
    <row r="26" spans="1:24" x14ac:dyDescent="0.35">
      <c r="B26" s="5"/>
    </row>
    <row r="27" spans="1:24" x14ac:dyDescent="0.35">
      <c r="B27" s="5"/>
    </row>
    <row r="1048575" spans="20:21" x14ac:dyDescent="0.35">
      <c r="T1048575" s="4"/>
    </row>
    <row r="1048576" spans="20:21" x14ac:dyDescent="0.35">
      <c r="T1048576" s="3"/>
      <c r="U1048576" s="2"/>
    </row>
  </sheetData>
  <mergeCells count="4">
    <mergeCell ref="H1:J1"/>
    <mergeCell ref="V1:X1"/>
    <mergeCell ref="L1:M1"/>
    <mergeCell ref="L8:M8"/>
  </mergeCells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l_x002e_Date xmlns="e9030caa-ab7d-4043-a723-846408bcfa62" xsi:nil="true"/>
    <CalProvider xmlns="e9030caa-ab7d-4043-a723-846408bcfa62" xsi:nil="true"/>
    <Adjusted_x003f_ xmlns="e9030caa-ab7d-4043-a723-846408bcfa62">false</Adjusted_x003f_>
    <ETEs xmlns="e9030caa-ab7d-4043-a723-846408bcfa6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0134D6-355F-4B0A-8CF4-732AAFED6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595BBE-0565-41E5-9551-350E5026E0F7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3.xml><?xml version="1.0" encoding="utf-8"?>
<ds:datastoreItem xmlns:ds="http://schemas.openxmlformats.org/officeDocument/2006/customXml" ds:itemID="{A242242C-AB51-4572-A0FE-D643304691E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1M Ohm</vt:lpstr>
      <vt:lpstr>df_PN010012</vt:lpstr>
      <vt:lpstr>'1M Ohm'!df_PN010013</vt:lpstr>
      <vt:lpstr>n_PN010012</vt:lpstr>
      <vt:lpstr>n_PN010013</vt:lpstr>
      <vt:lpstr>SSx_PN010012</vt:lpstr>
      <vt:lpstr>'1M Ohm'!SSx_PN010013</vt:lpstr>
      <vt:lpstr>Syx_PN010012</vt:lpstr>
      <vt:lpstr>'1M Ohm'!Syx_PN010013</vt:lpstr>
      <vt:lpstr>XBar_PN010012</vt:lpstr>
      <vt:lpstr>'1M Ohm'!XBar_PN010013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2023-11-17T12:34:46Z</dcterms:created>
  <dcterms:modified xsi:type="dcterms:W3CDTF">2026-09-08T00:04:29Z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