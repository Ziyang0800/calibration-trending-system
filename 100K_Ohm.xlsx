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69998814-BEA9-4627-A9B1-B1123DACE1DD}" xr6:coauthVersionLast="47" xr6:coauthVersionMax="47" xr10:uidLastSave="{00000000-0000-0000-0000-000000000000}"/>
  <bookViews>
    <workbookView xWindow="-108" yWindow="-108" windowWidth="23256" windowHeight="13896" xr2:uid="{BE5DD6CC-D759-47C5-B5B7-680B7D7BF87F}"/>
  </bookViews>
  <sheets>
    <sheet name="100K Ohm" sheetId="1" r:id="rId1"/>
  </sheets>
  <externalReferences>
    <externalReference r:id="rId2"/>
  </externalReferences>
  <definedNames>
    <definedName name="df_PN010010">'100K Ohm'!$M$10</definedName>
    <definedName name="df_PN010011" localSheetId="0">'100K Ohm'!$M$3</definedName>
    <definedName name="Known_xs_PN010008" localSheetId="0">OFFSET('100K Ohm'!$Q$3,,,COUNTA('100K Ohm'!$Q:$Q)-3)</definedName>
    <definedName name="Known_xs_PN010010">OFFSET('100K Ohm'!$Q$3,,,COUNTA('100K Ohm'!$Q:$Q)-3)</definedName>
    <definedName name="Known_xs_PN010011" localSheetId="0">OFFSET('100K Ohm'!$C$3,,,COUNTA('100K Ohm'!$C:$C)-3)</definedName>
    <definedName name="Known_ys_PN010010" localSheetId="0">OFFSET('100K Ohm'!$T$3,,,COUNTA('100K Ohm'!$T:$T)-2)</definedName>
    <definedName name="Known_ys_PN010011" localSheetId="0">OFFSET('100K Ohm'!$F$3,,,COUNTA('100K Ohm'!$F:$F)-2)</definedName>
    <definedName name="n_PN010010">'100K Ohm'!$M$9</definedName>
    <definedName name="n_PN010011">'100K Ohm'!$M$2</definedName>
    <definedName name="PI_L_PN010001">OFFSET('[1]1 Ohm'!$I$3,,,COUNTA('[1]1 Ohm'!$I:$I)-1)</definedName>
    <definedName name="PI_L_PN010022">OFFSET('[1]1 Ohm'!$W$3,,,COUNTA('[1]1 Ohm'!$W:$W)-1)</definedName>
    <definedName name="PI_U_PN010001">OFFSET('[1]1 Ohm'!$J$3,,,COUNTA('[1]1 Ohm'!$J:$J)-1)</definedName>
    <definedName name="PI_U_PN010022">OFFSET('[1]1 Ohm'!$X$3,,,COUNTA('[1]1 Ohm'!$X:$X)-1)</definedName>
    <definedName name="Predicted_PN010001">OFFSET('[1]1 Ohm'!$H$3,,,COUNTA('[1]1 Ohm'!$H:$H)-2)</definedName>
    <definedName name="Predicted_PN010022">OFFSET('[1]1 Ohm'!$V$3,,,COUNTA('[1]1 Ohm'!$V:$V)-2)</definedName>
    <definedName name="SSx_PN010010">'100K Ohm'!$M$13</definedName>
    <definedName name="SSx_PN010011" localSheetId="0">'100K Ohm'!$M$6</definedName>
    <definedName name="Syx_PN010010">'100K Ohm'!$M$12</definedName>
    <definedName name="Syx_PN010011" localSheetId="0">'100K Ohm'!$M$5</definedName>
    <definedName name="XBar_PN010010">'100K Ohm'!$M$11</definedName>
    <definedName name="XBar_PN010011" localSheetId="0">'100K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 s="1"/>
  <c r="C24" i="1"/>
  <c r="H24" i="1" s="1"/>
  <c r="B24" i="1"/>
  <c r="R17" i="1"/>
  <c r="S17" i="1" s="1"/>
  <c r="Q17" i="1"/>
  <c r="V17" i="1" s="1"/>
  <c r="P17" i="1"/>
  <c r="D23" i="1"/>
  <c r="E23" i="1" s="1"/>
  <c r="B23" i="1"/>
  <c r="C23" i="1" s="1"/>
  <c r="H23" i="1" s="1"/>
  <c r="R16" i="1"/>
  <c r="S16" i="1" s="1"/>
  <c r="P16" i="1"/>
  <c r="Q16" i="1" s="1"/>
  <c r="V16" i="1" s="1"/>
  <c r="R15" i="1"/>
  <c r="S15" i="1" s="1"/>
  <c r="P15" i="1"/>
  <c r="Q15" i="1" s="1"/>
  <c r="D22" i="1"/>
  <c r="E22" i="1" s="1"/>
  <c r="C22" i="1"/>
  <c r="B22" i="1"/>
  <c r="D21" i="1"/>
  <c r="E21" i="1" s="1"/>
  <c r="C21" i="1"/>
  <c r="B21" i="1"/>
  <c r="R14" i="1"/>
  <c r="S14" i="1" s="1"/>
  <c r="P14" i="1"/>
  <c r="Q14" i="1" s="1"/>
  <c r="H22" i="1" l="1"/>
  <c r="H21" i="1"/>
  <c r="V15" i="1"/>
  <c r="V14" i="1"/>
  <c r="V5" i="1"/>
  <c r="V6" i="1"/>
  <c r="V7" i="1"/>
  <c r="V8" i="1"/>
  <c r="V9" i="1"/>
  <c r="V10" i="1"/>
  <c r="V11" i="1"/>
  <c r="V12" i="1"/>
  <c r="V13" i="1"/>
  <c r="V4" i="1"/>
  <c r="V3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P12" i="1"/>
  <c r="Q12" i="1" s="1"/>
  <c r="R12" i="1"/>
  <c r="S12" i="1"/>
  <c r="P13" i="1"/>
  <c r="R13" i="1"/>
  <c r="S13" i="1" s="1"/>
  <c r="B19" i="1"/>
  <c r="C19" i="1" s="1"/>
  <c r="B20" i="1"/>
  <c r="C20" i="1" s="1"/>
  <c r="E20" i="1"/>
  <c r="D20" i="1"/>
  <c r="E19" i="1"/>
  <c r="D19" i="1"/>
  <c r="M9" i="1"/>
  <c r="M10" i="1" s="1"/>
  <c r="M2" i="1"/>
  <c r="M3" i="1" s="1"/>
  <c r="M12" i="1" l="1"/>
  <c r="Q13" i="1"/>
  <c r="M13" i="1" s="1"/>
  <c r="M6" i="1"/>
  <c r="M5" i="1"/>
  <c r="J24" i="1" s="1"/>
  <c r="M4" i="1"/>
  <c r="I24" i="1" l="1"/>
  <c r="J23" i="1"/>
  <c r="I23" i="1"/>
  <c r="J22" i="1"/>
  <c r="I22" i="1"/>
  <c r="J21" i="1"/>
  <c r="I21" i="1"/>
  <c r="J7" i="1"/>
  <c r="I6" i="1"/>
  <c r="J5" i="1"/>
  <c r="I20" i="1"/>
  <c r="I17" i="1"/>
  <c r="J16" i="1"/>
  <c r="I16" i="1"/>
  <c r="I13" i="1"/>
  <c r="J4" i="1"/>
  <c r="I12" i="1"/>
  <c r="I9" i="1"/>
  <c r="J15" i="1"/>
  <c r="I8" i="1"/>
  <c r="I5" i="1"/>
  <c r="J14" i="1"/>
  <c r="I4" i="1"/>
  <c r="J20" i="1"/>
  <c r="I19" i="1"/>
  <c r="I15" i="1"/>
  <c r="J8" i="1"/>
  <c r="J13" i="1"/>
  <c r="I11" i="1"/>
  <c r="J19" i="1"/>
  <c r="J12" i="1"/>
  <c r="I10" i="1"/>
  <c r="J17" i="1"/>
  <c r="I7" i="1"/>
  <c r="J11" i="1"/>
  <c r="J3" i="1"/>
  <c r="I18" i="1"/>
  <c r="J18" i="1"/>
  <c r="J10" i="1"/>
  <c r="I14" i="1"/>
  <c r="J6" i="1"/>
  <c r="J9" i="1"/>
  <c r="I3" i="1"/>
  <c r="M11" i="1"/>
  <c r="X3" i="1" s="1"/>
  <c r="W17" i="1" l="1"/>
  <c r="X17" i="1"/>
  <c r="W16" i="1"/>
  <c r="X16" i="1"/>
  <c r="W15" i="1"/>
  <c r="X15" i="1"/>
  <c r="X14" i="1"/>
  <c r="W14" i="1"/>
  <c r="W11" i="1"/>
  <c r="X9" i="1"/>
  <c r="X13" i="1"/>
  <c r="W10" i="1"/>
  <c r="W9" i="1"/>
  <c r="X7" i="1"/>
  <c r="W8" i="1"/>
  <c r="X12" i="1"/>
  <c r="W6" i="1"/>
  <c r="X5" i="1"/>
  <c r="W5" i="1"/>
  <c r="W12" i="1"/>
  <c r="X10" i="1"/>
  <c r="X11" i="1"/>
  <c r="W13" i="1"/>
  <c r="X8" i="1"/>
  <c r="X6" i="1"/>
  <c r="W7" i="1"/>
  <c r="X4" i="1"/>
  <c r="W3" i="1"/>
  <c r="W4" i="1"/>
  <c r="F3" i="1" l="1"/>
  <c r="D3" i="1" s="1"/>
  <c r="G3" i="1"/>
  <c r="T3" i="1"/>
  <c r="R3" i="1" s="1"/>
  <c r="U3" i="1"/>
  <c r="B4" i="1"/>
  <c r="D4" i="1"/>
  <c r="P4" i="1"/>
  <c r="Q4" i="1" s="1"/>
  <c r="T4" i="1"/>
  <c r="R4" i="1" s="1"/>
  <c r="U4" i="1"/>
  <c r="B5" i="1"/>
  <c r="D5" i="1"/>
  <c r="P5" i="1"/>
  <c r="R5" i="1"/>
  <c r="B6" i="1"/>
  <c r="D6" i="1"/>
  <c r="P6" i="1"/>
  <c r="R6" i="1"/>
  <c r="B7" i="1"/>
  <c r="D7" i="1"/>
  <c r="P7" i="1"/>
  <c r="R7" i="1"/>
  <c r="B8" i="1"/>
  <c r="D8" i="1"/>
  <c r="P8" i="1"/>
  <c r="R8" i="1"/>
  <c r="B9" i="1"/>
  <c r="D9" i="1"/>
  <c r="P9" i="1"/>
  <c r="R9" i="1"/>
  <c r="B10" i="1"/>
  <c r="D10" i="1"/>
  <c r="P10" i="1"/>
  <c r="R10" i="1"/>
  <c r="S10" i="1" s="1"/>
  <c r="B11" i="1"/>
  <c r="D11" i="1"/>
  <c r="P11" i="1"/>
  <c r="R11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E6" i="1" l="1"/>
  <c r="S4" i="1"/>
  <c r="E13" i="1"/>
  <c r="E17" i="1"/>
  <c r="S8" i="1"/>
  <c r="C6" i="1"/>
  <c r="E7" i="1"/>
  <c r="E11" i="1"/>
  <c r="E8" i="1"/>
  <c r="S6" i="1"/>
  <c r="E18" i="1"/>
  <c r="E10" i="1"/>
  <c r="Q7" i="1"/>
  <c r="S11" i="1"/>
  <c r="E4" i="1"/>
  <c r="E12" i="1"/>
  <c r="S7" i="1"/>
  <c r="E16" i="1"/>
  <c r="E9" i="1"/>
  <c r="E15" i="1"/>
  <c r="E5" i="1"/>
  <c r="S9" i="1"/>
  <c r="C17" i="1"/>
  <c r="C7" i="1"/>
  <c r="S5" i="1"/>
  <c r="C10" i="1"/>
  <c r="Q5" i="1"/>
  <c r="C4" i="1"/>
  <c r="E14" i="1"/>
  <c r="C14" i="1"/>
  <c r="Q11" i="1"/>
  <c r="Q8" i="1"/>
  <c r="C16" i="1"/>
  <c r="C13" i="1"/>
  <c r="C11" i="1"/>
  <c r="Q9" i="1"/>
  <c r="C8" i="1"/>
  <c r="Q6" i="1"/>
  <c r="C5" i="1"/>
  <c r="C18" i="1"/>
  <c r="C15" i="1"/>
  <c r="C12" i="1"/>
  <c r="Q10" i="1"/>
  <c r="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tc={8CF1EB53-6EDD-46BB-B1A4-6124B8245522}</author>
  </authors>
  <commentList>
    <comment ref="F6" authorId="0" shapeId="0" xr:uid="{8CF1EB53-6EDD-46BB-B1A4-6124B82455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point observed to be outside the regression limits was measured years ago before the current analysis was implemented. 
Reply:
    @Siang-Yen Neng </t>
      </text>
    </comment>
  </commentList>
</comments>
</file>

<file path=xl/sharedStrings.xml><?xml version="1.0" encoding="utf-8"?>
<sst xmlns="http://schemas.openxmlformats.org/spreadsheetml/2006/main" count="38" uniqueCount="21">
  <si>
    <t>742A-100K</t>
  </si>
  <si>
    <t>PN010011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</si>
  <si>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</si>
  <si>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PN010011</t>
    </r>
  </si>
  <si>
    <t>PN010010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</si>
  <si>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</si>
  <si>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</si>
  <si>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</si>
  <si>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</si>
  <si>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</si>
  <si>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</si>
  <si>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</si>
  <si>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</si>
  <si>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</si>
  <si>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</si>
  <si>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</si>
  <si>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</si>
  <si>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</si>
  <si>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</si>
  <si>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PN010010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</si>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</sst>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"/>
    <numFmt numFmtId="167" formatCode="0.00000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166" fontId="1" fillId="2" borderId="0" xfId="0" applyNumberFormat="1" applyFont="1" applyFill="1" applyAlignment="1">
      <alignment horizontal="center" vertical="center"/>
    </xf>
    <xf numFmtId="15" fontId="1" fillId="9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165" fontId="1" fillId="9" borderId="0" xfId="0" applyNumberFormat="1" applyFont="1" applyFill="1" applyAlignment="1">
      <alignment horizontal="center" vertical="center"/>
    </xf>
    <xf numFmtId="166" fontId="1" fillId="9" borderId="0" xfId="0" applyNumberFormat="1" applyFont="1" applyFill="1" applyAlignment="1">
      <alignment horizontal="center" vertical="center"/>
    </xf>
    <xf numFmtId="11" fontId="1" fillId="9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PN010011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'100K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'100K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820</c:v>
                </c:pt>
                <c:pt idx="5">
                  <c:v>1045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3633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'100K Ohm'!$F$3:$F$23</c:f>
              <c:numCache>
                <c:formatCode>0.000</c:formatCode>
                <c:ptCount val="21"/>
                <c:pt idx="0">
                  <c:v>100000.48699999999</c:v>
                </c:pt>
                <c:pt idx="1">
                  <c:v>100000.55</c:v>
                </c:pt>
                <c:pt idx="2">
                  <c:v>100000.48</c:v>
                </c:pt>
                <c:pt idx="3">
                  <c:v>100000.61900000001</c:v>
                </c:pt>
                <c:pt idx="4">
                  <c:v>100000.5</c:v>
                </c:pt>
                <c:pt idx="5">
                  <c:v>100000.52</c:v>
                </c:pt>
                <c:pt idx="6">
                  <c:v>100000.55</c:v>
                </c:pt>
                <c:pt idx="7">
                  <c:v>100000.52</c:v>
                </c:pt>
                <c:pt idx="8">
                  <c:v>100000.54</c:v>
                </c:pt>
                <c:pt idx="9">
                  <c:v>100000.59</c:v>
                </c:pt>
                <c:pt idx="10">
                  <c:v>100000.592</c:v>
                </c:pt>
                <c:pt idx="11">
                  <c:v>100000.61599999999</c:v>
                </c:pt>
                <c:pt idx="12">
                  <c:v>100000.637</c:v>
                </c:pt>
                <c:pt idx="13">
                  <c:v>100000.65</c:v>
                </c:pt>
                <c:pt idx="14">
                  <c:v>100000.67</c:v>
                </c:pt>
                <c:pt idx="15">
                  <c:v>100000.671</c:v>
                </c:pt>
                <c:pt idx="16">
                  <c:v>100000.71799999999</c:v>
                </c:pt>
                <c:pt idx="17" formatCode="General">
                  <c:v>100000.68700000001</c:v>
                </c:pt>
                <c:pt idx="18">
                  <c:v>100000.75</c:v>
                </c:pt>
                <c:pt idx="19">
                  <c:v>100000.781</c:v>
                </c:pt>
                <c:pt idx="20">
                  <c:v>100000.75900000001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7-4451-A85C-2977F4E7DD50}"/>
            </c:ext>
          </c:extLst>
        </c:ser>
        <c:ser>
          <c:idx val="1"/>
          <c:order val="1"/>
          <c:tx>
            <c:strRef>
              <c:f>'100K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'100K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820</c:v>
                </c:pt>
                <c:pt idx="5">
                  <c:v>1045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3633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'100K Ohm'!$H$3:$H$23</c:f>
              <c:numCache>
                <c:formatCode>0.000</c:formatCode>
                <c:ptCount val="21"/>
                <c:pt idx="0">
                  <c:v>100000.48319898025</c:v>
                </c:pt>
                <c:pt idx="1">
                  <c:v>100000.49379093043</c:v>
                </c:pt>
                <c:pt idx="2">
                  <c:v>100000.50515925391</c:v>
                </c:pt>
                <c:pt idx="3">
                  <c:v>100000.51708212975</c:v>
                </c:pt>
                <c:pt idx="4">
                  <c:v>100000.52867227419</c:v>
                </c:pt>
                <c:pt idx="5">
                  <c:v>100000.5411497024</c:v>
                </c:pt>
                <c:pt idx="6">
                  <c:v>100000.55273984683</c:v>
                </c:pt>
                <c:pt idx="7">
                  <c:v>100000.5690991416</c:v>
                </c:pt>
                <c:pt idx="8">
                  <c:v>100000.58612389921</c:v>
                </c:pt>
                <c:pt idx="9">
                  <c:v>100000.59749222269</c:v>
                </c:pt>
                <c:pt idx="10">
                  <c:v>100000.60874963571</c:v>
                </c:pt>
                <c:pt idx="11">
                  <c:v>100000.62022886965</c:v>
                </c:pt>
                <c:pt idx="12">
                  <c:v>100000.64085821764</c:v>
                </c:pt>
                <c:pt idx="13">
                  <c:v>100000.66037846089</c:v>
                </c:pt>
                <c:pt idx="14">
                  <c:v>100000.67302225481</c:v>
                </c:pt>
                <c:pt idx="15">
                  <c:v>100000.68466785448</c:v>
                </c:pt>
                <c:pt idx="16">
                  <c:v>100000.69620254368</c:v>
                </c:pt>
                <c:pt idx="17">
                  <c:v>100000.70951180044</c:v>
                </c:pt>
                <c:pt idx="18">
                  <c:v>100000.72675837899</c:v>
                </c:pt>
                <c:pt idx="19">
                  <c:v>100000.73823761295</c:v>
                </c:pt>
                <c:pt idx="20">
                  <c:v>100000.75387598964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7-4451-A85C-2977F4E7D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tx>
            <c:v>Lower Bound</c:v>
          </c:tx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'100K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820</c:v>
                </c:pt>
                <c:pt idx="5">
                  <c:v>1045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3633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'100K Ohm'!$I$3:$I$23</c:f>
              <c:numCache>
                <c:formatCode>0.000</c:formatCode>
                <c:ptCount val="21"/>
                <c:pt idx="0">
                  <c:v>100000.40286959698</c:v>
                </c:pt>
                <c:pt idx="1">
                  <c:v>100000.41408589807</c:v>
                </c:pt>
                <c:pt idx="2">
                  <c:v>100000.42607032909</c:v>
                </c:pt>
                <c:pt idx="3">
                  <c:v>100000.43857789038</c:v>
                </c:pt>
                <c:pt idx="4">
                  <c:v>100000.45067475137</c:v>
                </c:pt>
                <c:pt idx="5">
                  <c:v>100000.4636283736</c:v>
                </c:pt>
                <c:pt idx="6">
                  <c:v>100000.47559532835</c:v>
                </c:pt>
                <c:pt idx="7">
                  <c:v>100000.4923772723</c:v>
                </c:pt>
                <c:pt idx="8">
                  <c:v>100000.50970410494</c:v>
                </c:pt>
                <c:pt idx="9">
                  <c:v>100000.52119505699</c:v>
                </c:pt>
                <c:pt idx="10">
                  <c:v>100000.53251112488</c:v>
                </c:pt>
                <c:pt idx="11">
                  <c:v>100000.54398569184</c:v>
                </c:pt>
                <c:pt idx="12">
                  <c:v>100000.56444316298</c:v>
                </c:pt>
                <c:pt idx="13">
                  <c:v>100000.58360854123</c:v>
                </c:pt>
                <c:pt idx="14">
                  <c:v>100000.59592390711</c:v>
                </c:pt>
                <c:pt idx="15">
                  <c:v>100000.60719941511</c:v>
                </c:pt>
                <c:pt idx="16">
                  <c:v>100000.61830457578</c:v>
                </c:pt>
                <c:pt idx="17">
                  <c:v>100000.6310417161</c:v>
                </c:pt>
                <c:pt idx="18">
                  <c:v>100000.64742781772</c:v>
                </c:pt>
                <c:pt idx="19">
                  <c:v>100000.65826173847</c:v>
                </c:pt>
                <c:pt idx="20">
                  <c:v>100000.67293051285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87-4451-A85C-2977F4E7DD50}"/>
            </c:ext>
          </c:extLst>
        </c:ser>
        <c:ser>
          <c:idx val="3"/>
          <c:order val="3"/>
          <c:tx>
            <c:v>Upper Bound</c:v>
          </c:tx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'100K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820</c:v>
                </c:pt>
                <c:pt idx="5">
                  <c:v>1045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3633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'100K Ohm'!$J$3:$J$23</c:f>
              <c:numCache>
                <c:formatCode>0.000</c:formatCode>
                <c:ptCount val="21"/>
                <c:pt idx="0">
                  <c:v>100000.56352836352</c:v>
                </c:pt>
                <c:pt idx="1">
                  <c:v>100000.57349596279</c:v>
                </c:pt>
                <c:pt idx="2">
                  <c:v>100000.58424817873</c:v>
                </c:pt>
                <c:pt idx="3">
                  <c:v>100000.59558636912</c:v>
                </c:pt>
                <c:pt idx="4">
                  <c:v>100000.60666979701</c:v>
                </c:pt>
                <c:pt idx="5">
                  <c:v>100000.6186710312</c:v>
                </c:pt>
                <c:pt idx="6">
                  <c:v>100000.62988436531</c:v>
                </c:pt>
                <c:pt idx="7">
                  <c:v>100000.64582101091</c:v>
                </c:pt>
                <c:pt idx="8">
                  <c:v>100000.66254369347</c:v>
                </c:pt>
                <c:pt idx="9">
                  <c:v>100000.67378938838</c:v>
                </c:pt>
                <c:pt idx="10">
                  <c:v>100000.68498814653</c:v>
                </c:pt>
                <c:pt idx="11">
                  <c:v>100000.69647204746</c:v>
                </c:pt>
                <c:pt idx="12">
                  <c:v>100000.7172732723</c:v>
                </c:pt>
                <c:pt idx="13">
                  <c:v>100000.73714838055</c:v>
                </c:pt>
                <c:pt idx="14">
                  <c:v>100000.7501206025</c:v>
                </c:pt>
                <c:pt idx="15">
                  <c:v>100000.76213629385</c:v>
                </c:pt>
                <c:pt idx="16">
                  <c:v>100000.77410051158</c:v>
                </c:pt>
                <c:pt idx="17">
                  <c:v>100000.78798188477</c:v>
                </c:pt>
                <c:pt idx="18">
                  <c:v>100000.80608894027</c:v>
                </c:pt>
                <c:pt idx="19">
                  <c:v>100000.81821348744</c:v>
                </c:pt>
                <c:pt idx="20">
                  <c:v>100000.83482146643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87-4451-A85C-2977F4E7D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PN010010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'100K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'100K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1312</c:v>
                </c:pt>
                <c:pt idx="7">
                  <c:v>1576</c:v>
                </c:pt>
                <c:pt idx="8">
                  <c:v>1794</c:v>
                </c:pt>
                <c:pt idx="9">
                  <c:v>2003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3276</c:v>
                </c:pt>
              </c:numCache>
            </c:numRef>
          </c:xVal>
          <c:yVal>
            <c:numRef>
              <c:f>'100K Ohm'!$T$3:$T$17</c:f>
              <c:numCache>
                <c:formatCode>0.000</c:formatCode>
                <c:ptCount val="15"/>
                <c:pt idx="0">
                  <c:v>100000.52</c:v>
                </c:pt>
                <c:pt idx="1">
                  <c:v>100000.55</c:v>
                </c:pt>
                <c:pt idx="2">
                  <c:v>100000.523</c:v>
                </c:pt>
                <c:pt idx="3">
                  <c:v>100000.548</c:v>
                </c:pt>
                <c:pt idx="4">
                  <c:v>100000.55100000001</c:v>
                </c:pt>
                <c:pt idx="5">
                  <c:v>100000.57</c:v>
                </c:pt>
                <c:pt idx="6">
                  <c:v>100000.58</c:v>
                </c:pt>
                <c:pt idx="7">
                  <c:v>100000.58199999999</c:v>
                </c:pt>
                <c:pt idx="8">
                  <c:v>100000.598</c:v>
                </c:pt>
                <c:pt idx="9">
                  <c:v>100000.61</c:v>
                </c:pt>
                <c:pt idx="10">
                  <c:v>100000.60400000001</c:v>
                </c:pt>
                <c:pt idx="11">
                  <c:v>100000.622</c:v>
                </c:pt>
                <c:pt idx="12">
                  <c:v>100000.67200000001</c:v>
                </c:pt>
                <c:pt idx="13">
                  <c:v>100000.69</c:v>
                </c:pt>
                <c:pt idx="14">
                  <c:v>100000.68700000001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5-422E-A1F3-5E485B26C1A1}"/>
            </c:ext>
          </c:extLst>
        </c:ser>
        <c:ser>
          <c:idx val="1"/>
          <c:order val="1"/>
          <c:tx>
            <c:strRef>
              <c:f>'100K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'100K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1312</c:v>
                </c:pt>
                <c:pt idx="7">
                  <c:v>1576</c:v>
                </c:pt>
                <c:pt idx="8">
                  <c:v>1794</c:v>
                </c:pt>
                <c:pt idx="9">
                  <c:v>2003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3276</c:v>
                </c:pt>
              </c:numCache>
            </c:numRef>
          </c:xVal>
          <c:yVal>
            <c:numRef>
              <c:f>'100K Ohm'!$V$3:$V$17</c:f>
              <c:numCache>
                <c:formatCode>0.000</c:formatCode>
                <c:ptCount val="15"/>
                <c:pt idx="0">
                  <c:v>100000.51458652008</c:v>
                </c:pt>
                <c:pt idx="1">
                  <c:v>100000.52627905209</c:v>
                </c:pt>
                <c:pt idx="2">
                  <c:v>100000.5361572257</c:v>
                </c:pt>
                <c:pt idx="3">
                  <c:v>100000.5473961681</c:v>
                </c:pt>
                <c:pt idx="4">
                  <c:v>100000.55601437058</c:v>
                </c:pt>
                <c:pt idx="5">
                  <c:v>100000.56327180425</c:v>
                </c:pt>
                <c:pt idx="6">
                  <c:v>100000.58070980458</c:v>
                </c:pt>
                <c:pt idx="7">
                  <c:v>100000.59401509963</c:v>
                </c:pt>
                <c:pt idx="8">
                  <c:v>100000.60500204783</c:v>
                </c:pt>
                <c:pt idx="9">
                  <c:v>100000.61553540641</c:v>
                </c:pt>
                <c:pt idx="10">
                  <c:v>100000.62712714073</c:v>
                </c:pt>
                <c:pt idx="11">
                  <c:v>100000.63801329123</c:v>
                </c:pt>
                <c:pt idx="12">
                  <c:v>100000.65106659207</c:v>
                </c:pt>
                <c:pt idx="13">
                  <c:v>100000.66482547672</c:v>
                </c:pt>
                <c:pt idx="14">
                  <c:v>100000.67969313596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35-422E-A1F3-5E485B26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'100K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1312</c:v>
                </c:pt>
                <c:pt idx="7">
                  <c:v>1576</c:v>
                </c:pt>
                <c:pt idx="8">
                  <c:v>1794</c:v>
                </c:pt>
                <c:pt idx="9">
                  <c:v>2003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3276</c:v>
                </c:pt>
              </c:numCache>
            </c:numRef>
          </c:xVal>
          <c:yVal>
            <c:numRef>
              <c:f>'100K Ohm'!$W$3:$W$17</c:f>
              <c:numCache>
                <c:formatCode>0.000</c:formatCode>
                <c:ptCount val="15"/>
                <c:pt idx="0">
                  <c:v>100000.4766287869</c:v>
                </c:pt>
                <c:pt idx="1">
                  <c:v>100000.48911644612</c:v>
                </c:pt>
                <c:pt idx="2">
                  <c:v>100000.4995682117</c:v>
                </c:pt>
                <c:pt idx="3">
                  <c:v>100000.51134464686</c:v>
                </c:pt>
                <c:pt idx="4">
                  <c:v>100000.52028867736</c:v>
                </c:pt>
                <c:pt idx="5">
                  <c:v>100000.52776064773</c:v>
                </c:pt>
                <c:pt idx="6">
                  <c:v>100000.54548468369</c:v>
                </c:pt>
                <c:pt idx="7">
                  <c:v>100000.55878680306</c:v>
                </c:pt>
                <c:pt idx="8">
                  <c:v>100000.56962639738</c:v>
                </c:pt>
                <c:pt idx="9">
                  <c:v>100000.57989708304</c:v>
                </c:pt>
                <c:pt idx="10">
                  <c:v>100000.59106556146</c:v>
                </c:pt>
                <c:pt idx="11">
                  <c:v>100000.60143041697</c:v>
                </c:pt>
                <c:pt idx="12">
                  <c:v>100000.61370780105</c:v>
                </c:pt>
                <c:pt idx="13">
                  <c:v>100000.62648127537</c:v>
                </c:pt>
                <c:pt idx="14">
                  <c:v>100000.64010546502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35-422E-A1F3-5E485B26C1A1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'100K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1312</c:v>
                </c:pt>
                <c:pt idx="7">
                  <c:v>1576</c:v>
                </c:pt>
                <c:pt idx="8">
                  <c:v>1794</c:v>
                </c:pt>
                <c:pt idx="9">
                  <c:v>2003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3276</c:v>
                </c:pt>
              </c:numCache>
            </c:numRef>
          </c:xVal>
          <c:yVal>
            <c:numRef>
              <c:f>'100K Ohm'!$X$3:$X$17</c:f>
              <c:numCache>
                <c:formatCode>0.000</c:formatCode>
                <c:ptCount val="15"/>
                <c:pt idx="0">
                  <c:v>100000.55254425325</c:v>
                </c:pt>
                <c:pt idx="1">
                  <c:v>100000.56344165807</c:v>
                </c:pt>
                <c:pt idx="2">
                  <c:v>100000.57274623969</c:v>
                </c:pt>
                <c:pt idx="3">
                  <c:v>100000.58344768934</c:v>
                </c:pt>
                <c:pt idx="4">
                  <c:v>100000.5917400638</c:v>
                </c:pt>
                <c:pt idx="5">
                  <c:v>100000.59878296076</c:v>
                </c:pt>
                <c:pt idx="6">
                  <c:v>100000.61593492546</c:v>
                </c:pt>
                <c:pt idx="7">
                  <c:v>100000.62924339621</c:v>
                </c:pt>
                <c:pt idx="8">
                  <c:v>100000.64037769828</c:v>
                </c:pt>
                <c:pt idx="9">
                  <c:v>100000.65117372978</c:v>
                </c:pt>
                <c:pt idx="10">
                  <c:v>100000.66318872001</c:v>
                </c:pt>
                <c:pt idx="11">
                  <c:v>100000.6745961655</c:v>
                </c:pt>
                <c:pt idx="12">
                  <c:v>100000.68842538308</c:v>
                </c:pt>
                <c:pt idx="13">
                  <c:v>100000.70316967808</c:v>
                </c:pt>
                <c:pt idx="14">
                  <c:v>100000.71928080689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35-422E-A1F3-5E485B26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255270</xdr:colOff>
      <xdr:row>24</xdr:row>
      <xdr:rowOff>122032</xdr:rowOff>
    </xdr:from>
    <xdr:to>
      <xdr:col>9</xdr:col>
      <xdr:colOff>522419</xdr:colOff>
      <xdr:row>45</xdr:row>
      <xdr:rowOff>122032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6410F-4AD5-4DA2-A717-7E6DF72EC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116093</xdr:colOff>
      <xdr:row>21</xdr:row>
      <xdr:rowOff>60960</xdr:rowOff>
    </xdr:from>
    <xdr:to>
      <xdr:col>21</xdr:col>
      <xdr:colOff>208878</xdr:colOff>
      <xdr:row>42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EF9F9E-01C8-4349-B448-54B52A439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iyanang\Desktop\1%20Ohm.xlsx" TargetMode="External"/><Relationship Id="rId1" Type="http://schemas.openxmlformats.org/officeDocument/2006/relationships/externalLinkPath" Target="https://keysighttech.sharepoint.com/sites/PG3458AGoldCal/Shared%20Documents/ETEs%20Performance%20and%20Management/Resistance%20Standards/1%20Oh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Ohm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ang-Yen Neng" id="{D36F6772-9CCB-4611-9FDD-FE7FA2C7C13B}" userId="siang-yen_neng@keysight.com" providerId="PeoplePicker"/>
  <person displayName="Zi-Yang Ang" id="{66EE4EF7-2A7F-4F63-BEF2-55B5C17D3DA5}" userId="S::zi-yang.ang@non.keysight.com::6ec80dae-b2a0-4d1b-90f8-6d857c105e2d" providerId="AD"/>
</personList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4-07-25T06:28:21.27" personId="{66EE4EF7-2A7F-4F63-BEF2-55B5C17D3DA5}" id="{8CF1EB53-6EDD-46BB-B1A4-6124B8245522}">
    <text xml:space="preserve">This data point observed to be outside the regression limits was measured years ago before the current analysis was implemented. </text>
  </threadedComment>
  <threadedComment ref="F6" dT="2024-07-25T06:28:52.44" personId="{66EE4EF7-2A7F-4F63-BEF2-55B5C17D3DA5}" id="{9A0E734F-26A3-4A45-8BC0-BD2468D7345B}" parentId="{8CF1EB53-6EDD-46BB-B1A4-6124B8245522}">
    <text xml:space="preserve">@Siang-Yen Neng </text>
    <mentions>
      <mention mentionpersonId="{D36F6772-9CCB-4611-9FDD-FE7FA2C7C13B}" mentionId="{74A720B9-2D95-4CFD-9352-0F99D2739B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E51C-AEB7-4B15-B1F3-CD5E0B6A0638}">
  <sheetPr>
    <tabColor theme="9" tint="0.39997558519241921"/>
  </sheetPr>
  <dimension ref="A1:X1048575"/>
  <sheetViews>
    <sheetView tabSelected="1" zoomScaleNormal="100" workbookViewId="0">
      <selection activeCell="G24" sqref="G24"/>
    </sheetView>
  </sheetViews>
  <sheetFormatPr defaultColWidth="8.77734375" defaultRowHeight="11.4" x14ac:dyDescent="0.3"/>
  <cols>
    <col min="1" max="1" width="11" style="1" customWidth="1"/>
    <col min="2" max="2" width="18.21875" style="1" bestFit="1" customWidth="1"/>
    <col min="3" max="3" width="17.21875" style="1" bestFit="1" customWidth="1"/>
    <col min="4" max="4" width="10.21875" style="1" bestFit="1" customWidth="1"/>
    <col min="5" max="5" width="11.44140625" style="1" bestFit="1" customWidth="1"/>
    <col min="6" max="6" width="12.44140625" style="1" bestFit="1" customWidth="1"/>
    <col min="7" max="7" width="8.21875" style="1" bestFit="1" customWidth="1"/>
    <col min="8" max="10" width="12.44140625" style="1" bestFit="1" customWidth="1"/>
    <col min="11" max="11" width="1" style="1" customWidth="1"/>
    <col min="12" max="12" width="8.44140625" style="1" bestFit="1" customWidth="1"/>
    <col min="13" max="13" width="12" style="1" bestFit="1" customWidth="1"/>
    <col min="14" max="14" width="1" style="1" customWidth="1"/>
    <col min="15" max="15" width="10.5546875" style="1" customWidth="1"/>
    <col min="16" max="16" width="18.21875" style="1" bestFit="1" customWidth="1"/>
    <col min="17" max="17" width="17.21875" style="1" bestFit="1" customWidth="1"/>
    <col min="18" max="18" width="10.21875" style="1" bestFit="1" customWidth="1"/>
    <col min="19" max="20" width="11.44140625" style="1" bestFit="1" customWidth="1"/>
    <col min="21" max="21" width="8.21875" style="1" bestFit="1" customWidth="1"/>
    <col min="22" max="23" width="11.44140625" style="1" bestFit="1" customWidth="1"/>
    <col min="24" max="24" width="12.44140625" style="1" bestFit="1" customWidth="1"/>
    <col min="25" max="16384" width="8.77734375" style="1"/>
  </cols>
  <sheetData>
    <row r="1" spans="1:24" ht="12" x14ac:dyDescent="0.3">
      <c r="A1" s="10"/>
      <c r="B1" s="11" t="s">
        <v>0</v>
      </c>
      <c r="C1" s="13" t="s">
        <v>1</v>
      </c>
      <c r="D1" s="13">
        <v>7630002</v>
      </c>
      <c r="E1" s="10"/>
      <c r="F1" s="10"/>
      <c r="G1" s="10"/>
      <c r="H1" s="25" t="s">
        <v>2</v>
      </c>
      <c r="I1" s="25"/>
      <c r="J1" s="25"/>
      <c r="K1" s="14"/>
      <c r="L1" s="26" t="s">
        <v>3</v>
      </c>
      <c r="M1" s="26"/>
      <c r="N1" s="14"/>
      <c r="O1" s="10"/>
      <c r="P1" s="11" t="s">
        <v>0</v>
      </c>
      <c r="Q1" s="13" t="s">
        <v>4</v>
      </c>
      <c r="R1" s="13">
        <v>7630001</v>
      </c>
      <c r="S1" s="10"/>
      <c r="T1" s="10"/>
      <c r="U1" s="10"/>
      <c r="V1" s="25" t="s">
        <v>2</v>
      </c>
      <c r="W1" s="25"/>
      <c r="X1" s="25"/>
    </row>
    <row r="2" spans="1:24" ht="13.2" customHeight="1" x14ac:dyDescent="0.3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20</v>
      </c>
      <c r="G2" s="11" t="s">
        <v>10</v>
      </c>
      <c r="H2" s="9" t="s">
        <v>11</v>
      </c>
      <c r="I2" s="9" t="s">
        <v>12</v>
      </c>
      <c r="J2" s="9" t="s">
        <v>13</v>
      </c>
      <c r="K2" s="14"/>
      <c r="L2" s="15" t="s">
        <v>14</v>
      </c>
      <c r="M2" s="16">
        <f ca="1">COUNT(Known_ys_PN010011)</f>
        <v>21</v>
      </c>
      <c r="N2" s="14"/>
      <c r="O2" s="11" t="s">
        <v>5</v>
      </c>
      <c r="P2" s="11" t="s">
        <v>6</v>
      </c>
      <c r="Q2" s="11" t="s">
        <v>7</v>
      </c>
      <c r="R2" s="11" t="s">
        <v>8</v>
      </c>
      <c r="S2" s="11" t="s">
        <v>9</v>
      </c>
      <c r="T2" s="12" t="s">
        <v>20</v>
      </c>
      <c r="U2" s="11" t="s">
        <v>10</v>
      </c>
      <c r="V2" s="9" t="s">
        <v>11</v>
      </c>
      <c r="W2" s="9" t="s">
        <v>12</v>
      </c>
      <c r="X2" s="9" t="s">
        <v>13</v>
      </c>
    </row>
    <row r="3" spans="1:24" x14ac:dyDescent="0.3">
      <c r="A3" s="7">
        <v>41127</v>
      </c>
      <c r="B3" s="3">
        <v>0</v>
      </c>
      <c r="C3" s="3">
        <v>0</v>
      </c>
      <c r="D3" s="6">
        <f t="shared" ref="D3:D20" si="0">(F3-100000)/100000*1000000</f>
        <v>4.8699999999371357</v>
      </c>
      <c r="E3" s="6"/>
      <c r="F3" s="8">
        <f>100000+(4.87*100000/1000000)</f>
        <v>100000.48699999999</v>
      </c>
      <c r="G3" s="4">
        <f>1*100000/1000000</f>
        <v>0.1</v>
      </c>
      <c r="H3" s="18">
        <f t="shared" ref="H3:H24" ca="1" si="1">_xlfn.FORECAST.LINEAR($C3,Known_ys_PN010011,Known_xs_PN010011)</f>
        <v>100000.48319898025</v>
      </c>
      <c r="I3" s="18">
        <f t="shared" ref="I3:I24" ca="1" si="2">$H3-ABS(_xlfn.T.INV(0.025,df_PN010011))*(Syx_PN010011*SQRT(1+1/n_PN010011+($C3-XBar_PN010011)^2/SSx_PN010011))</f>
        <v>100000.40286959698</v>
      </c>
      <c r="J3" s="18">
        <f t="shared" ref="J3:J24" ca="1" si="3">$H3+ABS(_xlfn.T.INV(0.025,df_PN010011))*(Syx_PN010011*SQRT(1+1/n_PN010011+($C3-XBar_PN010011)^2/SSx_PN010011))</f>
        <v>100000.56352836352</v>
      </c>
      <c r="K3" s="14"/>
      <c r="L3" s="15" t="s">
        <v>15</v>
      </c>
      <c r="M3" s="16">
        <f ca="1">n_PN010011-2</f>
        <v>19</v>
      </c>
      <c r="N3" s="14"/>
      <c r="O3" s="7">
        <v>42864</v>
      </c>
      <c r="P3" s="3">
        <v>0</v>
      </c>
      <c r="Q3" s="3">
        <v>0</v>
      </c>
      <c r="R3" s="6">
        <f t="shared" ref="R3:R11" si="4">(T3-100000)/100000*1000000</f>
        <v>5.2000000000407454</v>
      </c>
      <c r="S3" s="6"/>
      <c r="T3" s="8">
        <f>100000+(5.2*100000/1000000)</f>
        <v>100000.52</v>
      </c>
      <c r="U3" s="4">
        <f>0.71*100000/1000000</f>
        <v>7.0999999999999994E-2</v>
      </c>
      <c r="V3" s="18">
        <f t="shared" ref="V3:V17" ca="1" si="5">_xlfn.FORECAST.LINEAR($Q3,Known_ys_PN010010,Known_xs_PN010010)</f>
        <v>100000.51458652008</v>
      </c>
      <c r="W3" s="18">
        <f t="shared" ref="W3:W17" ca="1" si="6">$V3-ABS(_xlfn.T.INV(0.025,df_PN010010))*(Syx_PN010010*SQRT(1+1/n_PN010010+($Q3-XBar_PN010010)^2/SSx_PN010010))</f>
        <v>100000.4766287869</v>
      </c>
      <c r="X3" s="18">
        <f t="shared" ref="X3:X17" ca="1" si="7">$V3+ABS(_xlfn.T.INV(0.025,df_PN010010))*(Syx_PN010010*SQRT(1+1/n_PN010010+($Q3-XBar_PN010010)^2/SSx_PN010010))</f>
        <v>100000.55254425325</v>
      </c>
    </row>
    <row r="4" spans="1:24" x14ac:dyDescent="0.3">
      <c r="A4" s="7">
        <v>41318</v>
      </c>
      <c r="B4" s="3">
        <f t="shared" ref="B4:B18" si="8">A4-A3</f>
        <v>191</v>
      </c>
      <c r="C4" s="3">
        <f>SUM(B$4:B4)</f>
        <v>191</v>
      </c>
      <c r="D4" s="6">
        <f t="shared" si="0"/>
        <v>5.5000000000291038</v>
      </c>
      <c r="E4" s="5">
        <f t="shared" ref="E4:E20" si="9">D4-D3</f>
        <v>0.6300000000919681</v>
      </c>
      <c r="F4" s="8">
        <v>100000.55</v>
      </c>
      <c r="G4" s="4">
        <v>0.1</v>
      </c>
      <c r="H4" s="18">
        <f t="shared" ca="1" si="1"/>
        <v>100000.49379093043</v>
      </c>
      <c r="I4" s="18">
        <f t="shared" ca="1" si="2"/>
        <v>100000.41408589807</v>
      </c>
      <c r="J4" s="18">
        <f t="shared" ca="1" si="3"/>
        <v>100000.57349596279</v>
      </c>
      <c r="K4" s="14"/>
      <c r="L4" s="15" t="s">
        <v>16</v>
      </c>
      <c r="M4" s="16">
        <f ca="1">AVERAGE(Known_xs_PN010011)</f>
        <v>2352.6666666666665</v>
      </c>
      <c r="N4" s="14"/>
      <c r="O4" s="7">
        <v>43096</v>
      </c>
      <c r="P4" s="3">
        <f t="shared" ref="P4:P11" si="10">O4-O3</f>
        <v>232</v>
      </c>
      <c r="Q4" s="3">
        <f>SUM(P$4:P4)</f>
        <v>232</v>
      </c>
      <c r="R4" s="6">
        <f t="shared" si="4"/>
        <v>5.5000000000291038</v>
      </c>
      <c r="S4" s="5">
        <f t="shared" ref="S4:S11" si="11">R4-R3</f>
        <v>0.29999999998835847</v>
      </c>
      <c r="T4" s="8">
        <f>100000+(5.5*100000/1000000)</f>
        <v>100000.55</v>
      </c>
      <c r="U4" s="4">
        <f>0.71*100000/1000000</f>
        <v>7.0999999999999994E-2</v>
      </c>
      <c r="V4" s="18">
        <f t="shared" ca="1" si="5"/>
        <v>100000.52627905209</v>
      </c>
      <c r="W4" s="18">
        <f t="shared" ca="1" si="6"/>
        <v>100000.48911644612</v>
      </c>
      <c r="X4" s="18">
        <f t="shared" ca="1" si="7"/>
        <v>100000.56344165807</v>
      </c>
    </row>
    <row r="5" spans="1:24" x14ac:dyDescent="0.3">
      <c r="A5" s="7">
        <v>41523</v>
      </c>
      <c r="B5" s="3">
        <f t="shared" si="8"/>
        <v>205</v>
      </c>
      <c r="C5" s="3">
        <f>SUM(B$4:B5)</f>
        <v>396</v>
      </c>
      <c r="D5" s="6">
        <f t="shared" si="0"/>
        <v>4.7999999999592546</v>
      </c>
      <c r="E5" s="5">
        <f t="shared" si="9"/>
        <v>-0.70000000006984919</v>
      </c>
      <c r="F5" s="8">
        <v>100000.48</v>
      </c>
      <c r="G5" s="4">
        <v>0.1</v>
      </c>
      <c r="H5" s="18">
        <f t="shared" ca="1" si="1"/>
        <v>100000.50515925391</v>
      </c>
      <c r="I5" s="18">
        <f t="shared" ca="1" si="2"/>
        <v>100000.42607032909</v>
      </c>
      <c r="J5" s="18">
        <f t="shared" ca="1" si="3"/>
        <v>100000.58424817873</v>
      </c>
      <c r="K5" s="14"/>
      <c r="L5" s="15" t="s">
        <v>17</v>
      </c>
      <c r="M5" s="16">
        <f ca="1">STEYX(Known_ys_PN010011,Known_xs_PN010011)</f>
        <v>3.5584793756713425E-2</v>
      </c>
      <c r="N5" s="14"/>
      <c r="O5" s="7">
        <v>43292</v>
      </c>
      <c r="P5" s="3">
        <f t="shared" si="10"/>
        <v>196</v>
      </c>
      <c r="Q5" s="3">
        <f>SUM(P$4:P5)</f>
        <v>428</v>
      </c>
      <c r="R5" s="6">
        <f t="shared" si="4"/>
        <v>5.2300000000104774</v>
      </c>
      <c r="S5" s="5">
        <f t="shared" si="11"/>
        <v>-0.27000000001862645</v>
      </c>
      <c r="T5" s="8">
        <v>100000.523</v>
      </c>
      <c r="U5" s="4">
        <v>4.5999999999999999E-2</v>
      </c>
      <c r="V5" s="18">
        <f t="shared" ca="1" si="5"/>
        <v>100000.5361572257</v>
      </c>
      <c r="W5" s="18">
        <f t="shared" ca="1" si="6"/>
        <v>100000.4995682117</v>
      </c>
      <c r="X5" s="18">
        <f t="shared" ca="1" si="7"/>
        <v>100000.57274623969</v>
      </c>
    </row>
    <row r="6" spans="1:24" x14ac:dyDescent="0.3">
      <c r="A6" s="19">
        <v>41738</v>
      </c>
      <c r="B6" s="20">
        <f t="shared" si="8"/>
        <v>215</v>
      </c>
      <c r="C6" s="20">
        <f>SUM(B$4:B6)</f>
        <v>611</v>
      </c>
      <c r="D6" s="21">
        <f t="shared" si="0"/>
        <v>6.190000000060536</v>
      </c>
      <c r="E6" s="22">
        <f t="shared" si="9"/>
        <v>1.3900000001012813</v>
      </c>
      <c r="F6" s="23">
        <v>100000.61900000001</v>
      </c>
      <c r="G6" s="24">
        <v>0.12</v>
      </c>
      <c r="H6" s="23">
        <f t="shared" ca="1" si="1"/>
        <v>100000.51708212975</v>
      </c>
      <c r="I6" s="23">
        <f t="shared" ca="1" si="2"/>
        <v>100000.43857789038</v>
      </c>
      <c r="J6" s="23">
        <f t="shared" ca="1" si="3"/>
        <v>100000.59558636912</v>
      </c>
      <c r="K6" s="14"/>
      <c r="L6" s="15" t="s">
        <v>18</v>
      </c>
      <c r="M6" s="16">
        <f ca="1">DEVSQ(Known_xs_PN010011)</f>
        <v>47869864.666666664</v>
      </c>
      <c r="N6" s="14"/>
      <c r="O6" s="7">
        <v>43515</v>
      </c>
      <c r="P6" s="3">
        <f t="shared" si="10"/>
        <v>223</v>
      </c>
      <c r="Q6" s="3">
        <f>SUM(P$4:P6)</f>
        <v>651</v>
      </c>
      <c r="R6" s="6">
        <f t="shared" si="4"/>
        <v>5.4799999999522697</v>
      </c>
      <c r="S6" s="5">
        <f t="shared" si="11"/>
        <v>0.24999999994179234</v>
      </c>
      <c r="T6" s="8">
        <v>100000.548</v>
      </c>
      <c r="U6" s="4">
        <v>4.5999999999999999E-3</v>
      </c>
      <c r="V6" s="18">
        <f t="shared" ca="1" si="5"/>
        <v>100000.5473961681</v>
      </c>
      <c r="W6" s="18">
        <f t="shared" ca="1" si="6"/>
        <v>100000.51134464686</v>
      </c>
      <c r="X6" s="18">
        <f t="shared" ca="1" si="7"/>
        <v>100000.58344768934</v>
      </c>
    </row>
    <row r="7" spans="1:24" x14ac:dyDescent="0.3">
      <c r="A7" s="7">
        <v>41947</v>
      </c>
      <c r="B7" s="3">
        <f t="shared" si="8"/>
        <v>209</v>
      </c>
      <c r="C7" s="3">
        <f>SUM(B$4:B7)</f>
        <v>820</v>
      </c>
      <c r="D7" s="6">
        <f t="shared" si="0"/>
        <v>5</v>
      </c>
      <c r="E7" s="5">
        <f t="shared" si="9"/>
        <v>-1.190000000060536</v>
      </c>
      <c r="F7" s="8">
        <v>100000.5</v>
      </c>
      <c r="G7" s="4">
        <v>0.12</v>
      </c>
      <c r="H7" s="18">
        <f t="shared" ca="1" si="1"/>
        <v>100000.52867227419</v>
      </c>
      <c r="I7" s="18">
        <f t="shared" ca="1" si="2"/>
        <v>100000.45067475137</v>
      </c>
      <c r="J7" s="18">
        <f t="shared" ca="1" si="3"/>
        <v>100000.60666979701</v>
      </c>
      <c r="K7" s="14"/>
      <c r="L7" s="14"/>
      <c r="M7" s="14"/>
      <c r="N7" s="14"/>
      <c r="O7" s="7">
        <v>43686</v>
      </c>
      <c r="P7" s="3">
        <f t="shared" si="10"/>
        <v>171</v>
      </c>
      <c r="Q7" s="3">
        <f>SUM(P$4:P7)</f>
        <v>822</v>
      </c>
      <c r="R7" s="6">
        <f t="shared" si="4"/>
        <v>5.5100000000675209</v>
      </c>
      <c r="S7" s="5">
        <f t="shared" si="11"/>
        <v>3.0000000115251169E-2</v>
      </c>
      <c r="T7" s="8">
        <v>100000.55100000001</v>
      </c>
      <c r="U7" s="4">
        <v>4.5999999999999999E-3</v>
      </c>
      <c r="V7" s="18">
        <f t="shared" ca="1" si="5"/>
        <v>100000.55601437058</v>
      </c>
      <c r="W7" s="18">
        <f t="shared" ca="1" si="6"/>
        <v>100000.52028867736</v>
      </c>
      <c r="X7" s="18">
        <f t="shared" ca="1" si="7"/>
        <v>100000.5917400638</v>
      </c>
    </row>
    <row r="8" spans="1:24" ht="12" x14ac:dyDescent="0.3">
      <c r="A8" s="7">
        <v>42172</v>
      </c>
      <c r="B8" s="3">
        <f t="shared" si="8"/>
        <v>225</v>
      </c>
      <c r="C8" s="3">
        <f>SUM(B$4:B8)</f>
        <v>1045</v>
      </c>
      <c r="D8" s="6">
        <f t="shared" si="0"/>
        <v>5.2000000000407454</v>
      </c>
      <c r="E8" s="5">
        <f t="shared" si="9"/>
        <v>0.20000000004074536</v>
      </c>
      <c r="F8" s="8">
        <v>100000.52</v>
      </c>
      <c r="G8" s="4">
        <v>0.1</v>
      </c>
      <c r="H8" s="18">
        <f t="shared" ca="1" si="1"/>
        <v>100000.5411497024</v>
      </c>
      <c r="I8" s="18">
        <f t="shared" ca="1" si="2"/>
        <v>100000.4636283736</v>
      </c>
      <c r="J8" s="18">
        <f t="shared" ca="1" si="3"/>
        <v>100000.6186710312</v>
      </c>
      <c r="K8" s="14"/>
      <c r="L8" s="26" t="s">
        <v>19</v>
      </c>
      <c r="M8" s="26"/>
      <c r="N8" s="14"/>
      <c r="O8" s="7">
        <v>43830</v>
      </c>
      <c r="P8" s="3">
        <f t="shared" si="10"/>
        <v>144</v>
      </c>
      <c r="Q8" s="3">
        <f>SUM(P$4:P8)</f>
        <v>966</v>
      </c>
      <c r="R8" s="6">
        <f t="shared" si="4"/>
        <v>5.7000000000698492</v>
      </c>
      <c r="S8" s="5">
        <f t="shared" si="11"/>
        <v>0.19000000000232831</v>
      </c>
      <c r="T8" s="8">
        <v>100000.57</v>
      </c>
      <c r="U8" s="4">
        <v>4.5999999999999999E-3</v>
      </c>
      <c r="V8" s="18">
        <f t="shared" ca="1" si="5"/>
        <v>100000.56327180425</v>
      </c>
      <c r="W8" s="18">
        <f t="shared" ca="1" si="6"/>
        <v>100000.52776064773</v>
      </c>
      <c r="X8" s="18">
        <f t="shared" ca="1" si="7"/>
        <v>100000.59878296076</v>
      </c>
    </row>
    <row r="9" spans="1:24" x14ac:dyDescent="0.3">
      <c r="A9" s="7">
        <v>42381</v>
      </c>
      <c r="B9" s="3">
        <f t="shared" si="8"/>
        <v>209</v>
      </c>
      <c r="C9" s="3">
        <f>SUM(B$4:B9)</f>
        <v>1254</v>
      </c>
      <c r="D9" s="6">
        <f t="shared" si="0"/>
        <v>5.5000000000291038</v>
      </c>
      <c r="E9" s="5">
        <f t="shared" si="9"/>
        <v>0.29999999998835847</v>
      </c>
      <c r="F9" s="8">
        <v>100000.55</v>
      </c>
      <c r="G9" s="4">
        <v>0.1</v>
      </c>
      <c r="H9" s="18">
        <f t="shared" ca="1" si="1"/>
        <v>100000.55273984683</v>
      </c>
      <c r="I9" s="18">
        <f t="shared" ca="1" si="2"/>
        <v>100000.47559532835</v>
      </c>
      <c r="J9" s="18">
        <f t="shared" ca="1" si="3"/>
        <v>100000.62988436531</v>
      </c>
      <c r="K9" s="14"/>
      <c r="L9" s="15" t="s">
        <v>14</v>
      </c>
      <c r="M9" s="16">
        <f ca="1">COUNT(Known_ys_PN010010)</f>
        <v>14</v>
      </c>
      <c r="N9" s="14"/>
      <c r="O9" s="7">
        <v>44176</v>
      </c>
      <c r="P9" s="3">
        <f t="shared" si="10"/>
        <v>346</v>
      </c>
      <c r="Q9" s="3">
        <f>SUM(P$4:P9)</f>
        <v>1312</v>
      </c>
      <c r="R9" s="6">
        <f t="shared" si="4"/>
        <v>5.8000000000174623</v>
      </c>
      <c r="S9" s="5">
        <f t="shared" si="11"/>
        <v>9.9999999947613105E-2</v>
      </c>
      <c r="T9" s="8">
        <v>100000.58</v>
      </c>
      <c r="U9" s="4">
        <v>4.5999999999999999E-3</v>
      </c>
      <c r="V9" s="18">
        <f t="shared" ca="1" si="5"/>
        <v>100000.58070980458</v>
      </c>
      <c r="W9" s="18">
        <f t="shared" ca="1" si="6"/>
        <v>100000.54548468369</v>
      </c>
      <c r="X9" s="18">
        <f t="shared" ca="1" si="7"/>
        <v>100000.61593492546</v>
      </c>
    </row>
    <row r="10" spans="1:24" x14ac:dyDescent="0.3">
      <c r="A10" s="7">
        <v>42676</v>
      </c>
      <c r="B10" s="3">
        <f t="shared" si="8"/>
        <v>295</v>
      </c>
      <c r="C10" s="3">
        <f>SUM(B$4:B10)</f>
        <v>1549</v>
      </c>
      <c r="D10" s="6">
        <f t="shared" si="0"/>
        <v>5.2000000000407454</v>
      </c>
      <c r="E10" s="5">
        <f t="shared" si="9"/>
        <v>-0.29999999998835847</v>
      </c>
      <c r="F10" s="8">
        <v>100000.52</v>
      </c>
      <c r="G10" s="4">
        <v>7.0999999999999994E-2</v>
      </c>
      <c r="H10" s="18">
        <f t="shared" ca="1" si="1"/>
        <v>100000.5690991416</v>
      </c>
      <c r="I10" s="18">
        <f t="shared" ca="1" si="2"/>
        <v>100000.4923772723</v>
      </c>
      <c r="J10" s="18">
        <f t="shared" ca="1" si="3"/>
        <v>100000.64582101091</v>
      </c>
      <c r="K10" s="14"/>
      <c r="L10" s="15" t="s">
        <v>15</v>
      </c>
      <c r="M10" s="16">
        <f ca="1">n_PN010010-2</f>
        <v>12</v>
      </c>
      <c r="N10" s="14"/>
      <c r="O10" s="7">
        <v>44440</v>
      </c>
      <c r="P10" s="3">
        <f t="shared" si="10"/>
        <v>264</v>
      </c>
      <c r="Q10" s="3">
        <f>SUM(P$4:P10)</f>
        <v>1576</v>
      </c>
      <c r="R10" s="6">
        <f t="shared" si="4"/>
        <v>5.8199999999487773</v>
      </c>
      <c r="S10" s="5">
        <f t="shared" si="11"/>
        <v>1.999999993131496E-2</v>
      </c>
      <c r="T10" s="8">
        <v>100000.58199999999</v>
      </c>
      <c r="U10" s="4">
        <v>4.5999999999999999E-3</v>
      </c>
      <c r="V10" s="18">
        <f t="shared" ca="1" si="5"/>
        <v>100000.59401509963</v>
      </c>
      <c r="W10" s="18">
        <f t="shared" ca="1" si="6"/>
        <v>100000.55878680306</v>
      </c>
      <c r="X10" s="18">
        <f t="shared" ca="1" si="7"/>
        <v>100000.62924339621</v>
      </c>
    </row>
    <row r="11" spans="1:24" x14ac:dyDescent="0.3">
      <c r="A11" s="7">
        <v>42983</v>
      </c>
      <c r="B11" s="3">
        <f t="shared" si="8"/>
        <v>307</v>
      </c>
      <c r="C11" s="3">
        <f>SUM(B$4:B11)</f>
        <v>1856</v>
      </c>
      <c r="D11" s="6">
        <f t="shared" si="0"/>
        <v>5.3999999999359716</v>
      </c>
      <c r="E11" s="5">
        <f t="shared" si="9"/>
        <v>0.19999999989522621</v>
      </c>
      <c r="F11" s="8">
        <v>100000.54</v>
      </c>
      <c r="G11" s="4">
        <v>7.0999999999999994E-2</v>
      </c>
      <c r="H11" s="18">
        <f t="shared" ca="1" si="1"/>
        <v>100000.58612389921</v>
      </c>
      <c r="I11" s="18">
        <f t="shared" ca="1" si="2"/>
        <v>100000.50970410494</v>
      </c>
      <c r="J11" s="18">
        <f t="shared" ca="1" si="3"/>
        <v>100000.66254369347</v>
      </c>
      <c r="K11" s="14"/>
      <c r="L11" s="15" t="s">
        <v>16</v>
      </c>
      <c r="M11" s="16">
        <f ca="1">AVERAGE(Known_xs_PN010008)</f>
        <v>1439.6428571428571</v>
      </c>
      <c r="N11" s="14"/>
      <c r="O11" s="7">
        <v>44658</v>
      </c>
      <c r="P11" s="3">
        <f t="shared" si="10"/>
        <v>218</v>
      </c>
      <c r="Q11" s="3">
        <f>SUM(P$4:P11)</f>
        <v>1794</v>
      </c>
      <c r="R11" s="6">
        <f t="shared" si="4"/>
        <v>5.9799999999813735</v>
      </c>
      <c r="S11" s="5">
        <f t="shared" si="11"/>
        <v>0.16000000003259629</v>
      </c>
      <c r="T11" s="8">
        <v>100000.598</v>
      </c>
      <c r="U11" s="4">
        <v>4.5999999999999999E-3</v>
      </c>
      <c r="V11" s="18">
        <f t="shared" ca="1" si="5"/>
        <v>100000.60500204783</v>
      </c>
      <c r="W11" s="18">
        <f t="shared" ca="1" si="6"/>
        <v>100000.56962639738</v>
      </c>
      <c r="X11" s="18">
        <f t="shared" ca="1" si="7"/>
        <v>100000.64037769828</v>
      </c>
    </row>
    <row r="12" spans="1:24" x14ac:dyDescent="0.3">
      <c r="A12" s="7">
        <v>43188</v>
      </c>
      <c r="B12" s="3">
        <f t="shared" si="8"/>
        <v>205</v>
      </c>
      <c r="C12" s="3">
        <f>SUM(B$4:B12)</f>
        <v>2061</v>
      </c>
      <c r="D12" s="6">
        <f t="shared" si="0"/>
        <v>5.8999999999650754</v>
      </c>
      <c r="E12" s="5">
        <f t="shared" si="9"/>
        <v>0.50000000002910383</v>
      </c>
      <c r="F12" s="8">
        <v>100000.59</v>
      </c>
      <c r="G12" s="4">
        <v>7.0999999999999994E-2</v>
      </c>
      <c r="H12" s="18">
        <f t="shared" ca="1" si="1"/>
        <v>100000.59749222269</v>
      </c>
      <c r="I12" s="18">
        <f t="shared" ca="1" si="2"/>
        <v>100000.52119505699</v>
      </c>
      <c r="J12" s="18">
        <f t="shared" ca="1" si="3"/>
        <v>100000.67378938838</v>
      </c>
      <c r="K12" s="14"/>
      <c r="L12" s="15" t="s">
        <v>17</v>
      </c>
      <c r="M12" s="16">
        <f ca="1">STEYX(Known_ys_PN010010,Known_xs_PN010008)</f>
        <v>1.5608942497714813E-2</v>
      </c>
      <c r="N12" s="14"/>
      <c r="O12" s="7">
        <v>44867</v>
      </c>
      <c r="P12" s="3">
        <f t="shared" ref="P12:P13" si="12">O12-O11</f>
        <v>209</v>
      </c>
      <c r="Q12" s="3">
        <f>SUM(P$4:P12)</f>
        <v>2003</v>
      </c>
      <c r="R12" s="6">
        <f t="shared" ref="R12:R13" si="13">(T12-100000)/100000*1000000</f>
        <v>6.1000000000058208</v>
      </c>
      <c r="S12" s="5">
        <f t="shared" ref="S12:S13" si="14">R12-R11</f>
        <v>0.12000000002444722</v>
      </c>
      <c r="T12" s="8">
        <v>100000.61</v>
      </c>
      <c r="U12" s="4">
        <v>4.5999999999999999E-3</v>
      </c>
      <c r="V12" s="18">
        <f t="shared" ca="1" si="5"/>
        <v>100000.61553540641</v>
      </c>
      <c r="W12" s="18">
        <f t="shared" ca="1" si="6"/>
        <v>100000.57989708304</v>
      </c>
      <c r="X12" s="18">
        <f t="shared" ca="1" si="7"/>
        <v>100000.65117372978</v>
      </c>
    </row>
    <row r="13" spans="1:24" x14ac:dyDescent="0.3">
      <c r="A13" s="7">
        <v>43391</v>
      </c>
      <c r="B13" s="3">
        <f t="shared" si="8"/>
        <v>203</v>
      </c>
      <c r="C13" s="3">
        <f>SUM(B$4:B13)</f>
        <v>2264</v>
      </c>
      <c r="D13" s="6">
        <f t="shared" si="0"/>
        <v>5.9200000000419095</v>
      </c>
      <c r="E13" s="5">
        <f t="shared" si="9"/>
        <v>2.0000000076834112E-2</v>
      </c>
      <c r="F13" s="8">
        <v>100000.592</v>
      </c>
      <c r="G13" s="4">
        <v>7.0999999999999994E-2</v>
      </c>
      <c r="H13" s="18">
        <f t="shared" ca="1" si="1"/>
        <v>100000.60874963571</v>
      </c>
      <c r="I13" s="18">
        <f t="shared" ca="1" si="2"/>
        <v>100000.53251112488</v>
      </c>
      <c r="J13" s="18">
        <f t="shared" ca="1" si="3"/>
        <v>100000.68498814653</v>
      </c>
      <c r="K13" s="14"/>
      <c r="L13" s="15" t="s">
        <v>18</v>
      </c>
      <c r="M13" s="16">
        <f ca="1">DEVSQ(Known_xs_PN010008)</f>
        <v>11892727.214285716</v>
      </c>
      <c r="N13" s="14"/>
      <c r="O13" s="7">
        <v>45097</v>
      </c>
      <c r="P13" s="3">
        <f t="shared" si="12"/>
        <v>230</v>
      </c>
      <c r="Q13" s="3">
        <f>SUM(P$4:P13)</f>
        <v>2233</v>
      </c>
      <c r="R13" s="6">
        <f t="shared" si="13"/>
        <v>6.0400000000663567</v>
      </c>
      <c r="S13" s="5">
        <f t="shared" si="14"/>
        <v>-5.9999999939464033E-2</v>
      </c>
      <c r="T13" s="8">
        <v>100000.60400000001</v>
      </c>
      <c r="U13" s="4">
        <v>4.5999999999999999E-3</v>
      </c>
      <c r="V13" s="18">
        <f t="shared" ca="1" si="5"/>
        <v>100000.62712714073</v>
      </c>
      <c r="W13" s="18">
        <f t="shared" ca="1" si="6"/>
        <v>100000.59106556146</v>
      </c>
      <c r="X13" s="18">
        <f t="shared" ca="1" si="7"/>
        <v>100000.66318872001</v>
      </c>
    </row>
    <row r="14" spans="1:24" x14ac:dyDescent="0.3">
      <c r="A14" s="7">
        <v>43598</v>
      </c>
      <c r="B14" s="3">
        <f t="shared" si="8"/>
        <v>207</v>
      </c>
      <c r="C14" s="3">
        <f>SUM(B$4:B14)</f>
        <v>2471</v>
      </c>
      <c r="D14" s="6">
        <f t="shared" si="0"/>
        <v>6.1599999999452848</v>
      </c>
      <c r="E14" s="5">
        <f t="shared" si="9"/>
        <v>0.23999999990337528</v>
      </c>
      <c r="F14" s="8">
        <v>100000.61599999999</v>
      </c>
      <c r="G14" s="4">
        <v>4.5999999999999999E-3</v>
      </c>
      <c r="H14" s="18">
        <f t="shared" ca="1" si="1"/>
        <v>100000.62022886965</v>
      </c>
      <c r="I14" s="18">
        <f t="shared" ca="1" si="2"/>
        <v>100000.54398569184</v>
      </c>
      <c r="J14" s="18">
        <f t="shared" ca="1" si="3"/>
        <v>100000.69647204746</v>
      </c>
      <c r="K14" s="14"/>
      <c r="L14" s="17"/>
      <c r="M14" s="17"/>
      <c r="N14" s="14"/>
      <c r="O14" s="7">
        <v>45313</v>
      </c>
      <c r="P14" s="3">
        <f t="shared" ref="P14" si="15">O14-O13</f>
        <v>216</v>
      </c>
      <c r="Q14" s="3">
        <f>SUM(P$4:P14)</f>
        <v>2449</v>
      </c>
      <c r="R14" s="6">
        <f t="shared" ref="R14" si="16">(T14-100000)/100000*1000000</f>
        <v>6.220000000030268</v>
      </c>
      <c r="S14" s="5">
        <f t="shared" ref="S14" si="17">R14-R13</f>
        <v>0.17999999996391125</v>
      </c>
      <c r="T14" s="8">
        <v>100000.622</v>
      </c>
      <c r="U14" s="4">
        <v>4.5999999999999999E-3</v>
      </c>
      <c r="V14" s="18">
        <f t="shared" ca="1" si="5"/>
        <v>100000.63801329123</v>
      </c>
      <c r="W14" s="18">
        <f t="shared" ca="1" si="6"/>
        <v>100000.60143041697</v>
      </c>
      <c r="X14" s="18">
        <f t="shared" ca="1" si="7"/>
        <v>100000.6745961655</v>
      </c>
    </row>
    <row r="15" spans="1:24" x14ac:dyDescent="0.3">
      <c r="A15" s="7">
        <v>43970</v>
      </c>
      <c r="B15" s="3">
        <f t="shared" si="8"/>
        <v>372</v>
      </c>
      <c r="C15" s="3">
        <f>SUM(B$4:B15)</f>
        <v>2843</v>
      </c>
      <c r="D15" s="6">
        <f t="shared" si="0"/>
        <v>6.3700000000244472</v>
      </c>
      <c r="E15" s="5">
        <f t="shared" si="9"/>
        <v>0.21000000007916242</v>
      </c>
      <c r="F15" s="8">
        <v>100000.637</v>
      </c>
      <c r="G15" s="4">
        <v>4.5999999999999999E-3</v>
      </c>
      <c r="H15" s="18">
        <f t="shared" ca="1" si="1"/>
        <v>100000.64085821764</v>
      </c>
      <c r="I15" s="18">
        <f t="shared" ca="1" si="2"/>
        <v>100000.56444316298</v>
      </c>
      <c r="J15" s="18">
        <f t="shared" ca="1" si="3"/>
        <v>100000.7172732723</v>
      </c>
      <c r="K15" s="4"/>
      <c r="L15" s="4"/>
      <c r="M15" s="4"/>
      <c r="O15" s="7">
        <v>45572</v>
      </c>
      <c r="P15" s="3">
        <f t="shared" ref="P15" si="18">O15-O14</f>
        <v>259</v>
      </c>
      <c r="Q15" s="3">
        <f>SUM(P$4:P15)</f>
        <v>2708</v>
      </c>
      <c r="R15" s="6">
        <f t="shared" ref="R15" si="19">(T15-100000)/100000*1000000</f>
        <v>6.7200000000593718</v>
      </c>
      <c r="S15" s="5">
        <f t="shared" ref="S15" si="20">R15-R14</f>
        <v>0.50000000002910383</v>
      </c>
      <c r="T15" s="8">
        <v>100000.67200000001</v>
      </c>
      <c r="U15" s="4">
        <v>4.5999999999999999E-3</v>
      </c>
      <c r="V15" s="18">
        <f t="shared" ca="1" si="5"/>
        <v>100000.65106659207</v>
      </c>
      <c r="W15" s="18">
        <f t="shared" ca="1" si="6"/>
        <v>100000.61370780105</v>
      </c>
      <c r="X15" s="18">
        <f t="shared" ca="1" si="7"/>
        <v>100000.68842538308</v>
      </c>
    </row>
    <row r="16" spans="1:24" x14ac:dyDescent="0.3">
      <c r="A16" s="7">
        <v>44322</v>
      </c>
      <c r="B16" s="3">
        <f t="shared" si="8"/>
        <v>352</v>
      </c>
      <c r="C16" s="3">
        <f>SUM(B$4:B16)</f>
        <v>3195</v>
      </c>
      <c r="D16" s="6">
        <f t="shared" si="0"/>
        <v>6.4999999999417923</v>
      </c>
      <c r="E16" s="5">
        <f t="shared" si="9"/>
        <v>0.12999999991734512</v>
      </c>
      <c r="F16" s="8">
        <v>100000.65</v>
      </c>
      <c r="G16" s="4">
        <v>4.5999999999999999E-3</v>
      </c>
      <c r="H16" s="18">
        <f t="shared" ca="1" si="1"/>
        <v>100000.66037846089</v>
      </c>
      <c r="I16" s="18">
        <f t="shared" ca="1" si="2"/>
        <v>100000.58360854123</v>
      </c>
      <c r="J16" s="18">
        <f t="shared" ca="1" si="3"/>
        <v>100000.73714838055</v>
      </c>
      <c r="K16" s="4"/>
      <c r="L16" s="4"/>
      <c r="M16" s="4"/>
      <c r="O16" s="7">
        <v>45845</v>
      </c>
      <c r="P16" s="3">
        <f t="shared" ref="P16" si="21">O16-O15</f>
        <v>273</v>
      </c>
      <c r="Q16" s="3">
        <f>SUM(P$4:P16)</f>
        <v>2981</v>
      </c>
      <c r="R16" s="6">
        <f t="shared" ref="R16" si="22">(T16-100000)/100000*1000000</f>
        <v>6.9000000000232831</v>
      </c>
      <c r="S16" s="5">
        <f t="shared" ref="S16" si="23">R16-R15</f>
        <v>0.17999999996391125</v>
      </c>
      <c r="T16" s="8">
        <v>100000.69</v>
      </c>
      <c r="U16" s="4">
        <v>4.5999999999999999E-3</v>
      </c>
      <c r="V16" s="18">
        <f t="shared" ca="1" si="5"/>
        <v>100000.66482547672</v>
      </c>
      <c r="W16" s="18">
        <f t="shared" ca="1" si="6"/>
        <v>100000.62648127537</v>
      </c>
      <c r="X16" s="18">
        <f t="shared" ca="1" si="7"/>
        <v>100000.70316967808</v>
      </c>
    </row>
    <row r="17" spans="1:24" x14ac:dyDescent="0.3">
      <c r="A17" s="7">
        <v>44550</v>
      </c>
      <c r="B17" s="3">
        <f t="shared" si="8"/>
        <v>228</v>
      </c>
      <c r="C17" s="3">
        <f>SUM(B$4:B17)</f>
        <v>3423</v>
      </c>
      <c r="D17" s="6">
        <f t="shared" si="0"/>
        <v>6.6999999999825377</v>
      </c>
      <c r="E17" s="5">
        <f t="shared" si="9"/>
        <v>0.20000000004074536</v>
      </c>
      <c r="F17" s="8">
        <v>100000.67</v>
      </c>
      <c r="G17" s="4">
        <v>4.5999999999999999E-3</v>
      </c>
      <c r="H17" s="18">
        <f t="shared" ca="1" si="1"/>
        <v>100000.67302225481</v>
      </c>
      <c r="I17" s="18">
        <f t="shared" ca="1" si="2"/>
        <v>100000.59592390711</v>
      </c>
      <c r="J17" s="18">
        <f t="shared" ca="1" si="3"/>
        <v>100000.7501206025</v>
      </c>
      <c r="K17" s="4"/>
      <c r="L17" s="4"/>
      <c r="M17" s="4"/>
      <c r="O17" s="7">
        <v>46140</v>
      </c>
      <c r="P17" s="3">
        <f t="shared" ref="P17" si="24">O17-O16</f>
        <v>295</v>
      </c>
      <c r="Q17" s="3">
        <f>SUM(P$4:P17)</f>
        <v>3276</v>
      </c>
      <c r="R17" s="6">
        <f t="shared" ref="R17" si="25">(T17-100000)/100000*1000000</f>
        <v>6.870000000053551</v>
      </c>
      <c r="S17" s="5">
        <f t="shared" ref="S17" si="26">R17-R16</f>
        <v>-2.9999999969732016E-2</v>
      </c>
      <c r="T17" s="8">
        <v>100000.68700000001</v>
      </c>
      <c r="U17" s="4">
        <v>4.5999999999999999E-3</v>
      </c>
      <c r="V17" s="18">
        <f t="shared" ca="1" si="5"/>
        <v>100000.67969313596</v>
      </c>
      <c r="W17" s="18">
        <f t="shared" ca="1" si="6"/>
        <v>100000.64010546502</v>
      </c>
      <c r="X17" s="18">
        <f t="shared" ca="1" si="7"/>
        <v>100000.71928080689</v>
      </c>
    </row>
    <row r="18" spans="1:24" x14ac:dyDescent="0.3">
      <c r="A18" s="7">
        <v>44760</v>
      </c>
      <c r="B18" s="3">
        <f t="shared" si="8"/>
        <v>210</v>
      </c>
      <c r="C18" s="3">
        <f>SUM(B$4:B18)</f>
        <v>3633</v>
      </c>
      <c r="D18" s="6">
        <f t="shared" si="0"/>
        <v>6.7100000000209548</v>
      </c>
      <c r="E18" s="5">
        <f t="shared" si="9"/>
        <v>1.0000000038417056E-2</v>
      </c>
      <c r="F18" s="8">
        <v>100000.671</v>
      </c>
      <c r="G18" s="4">
        <v>4.5999999999999999E-3</v>
      </c>
      <c r="H18" s="18">
        <f t="shared" ca="1" si="1"/>
        <v>100000.68466785448</v>
      </c>
      <c r="I18" s="18">
        <f t="shared" ca="1" si="2"/>
        <v>100000.60719941511</v>
      </c>
      <c r="J18" s="18">
        <f t="shared" ca="1" si="3"/>
        <v>100000.76213629385</v>
      </c>
      <c r="K18" s="4"/>
      <c r="L18" s="4"/>
      <c r="M18" s="4"/>
      <c r="O18" s="7"/>
      <c r="P18" s="3"/>
      <c r="Q18" s="3"/>
      <c r="R18" s="6"/>
      <c r="S18" s="5"/>
      <c r="T18" s="2"/>
      <c r="U18" s="4"/>
    </row>
    <row r="19" spans="1:24" x14ac:dyDescent="0.3">
      <c r="A19" s="7">
        <v>44968</v>
      </c>
      <c r="B19" s="3">
        <f t="shared" ref="B19:B20" si="27">A19-A18</f>
        <v>208</v>
      </c>
      <c r="C19" s="3">
        <f>SUM(B$4:B19)</f>
        <v>3841</v>
      </c>
      <c r="D19" s="6">
        <f t="shared" si="0"/>
        <v>7.1799999999348074</v>
      </c>
      <c r="E19" s="5">
        <f t="shared" si="9"/>
        <v>0.46999999991385266</v>
      </c>
      <c r="F19" s="8">
        <v>100000.71799999999</v>
      </c>
      <c r="G19" s="4">
        <v>4.5999999999999999E-3</v>
      </c>
      <c r="H19" s="18">
        <f t="shared" ca="1" si="1"/>
        <v>100000.69620254368</v>
      </c>
      <c r="I19" s="18">
        <f t="shared" ca="1" si="2"/>
        <v>100000.61830457578</v>
      </c>
      <c r="J19" s="18">
        <f t="shared" ca="1" si="3"/>
        <v>100000.77410051158</v>
      </c>
      <c r="K19" s="4"/>
      <c r="L19" s="4"/>
      <c r="M19" s="4"/>
      <c r="O19" s="7"/>
      <c r="P19" s="3"/>
      <c r="Q19" s="3"/>
      <c r="R19" s="6"/>
      <c r="S19" s="5"/>
      <c r="T19" s="2"/>
      <c r="U19" s="4"/>
    </row>
    <row r="20" spans="1:24" x14ac:dyDescent="0.3">
      <c r="A20" s="7">
        <v>45208</v>
      </c>
      <c r="B20" s="3">
        <f t="shared" si="27"/>
        <v>240</v>
      </c>
      <c r="C20" s="3">
        <f>SUM(B$4:B20)</f>
        <v>4081</v>
      </c>
      <c r="D20" s="6">
        <f t="shared" si="0"/>
        <v>6.870000000053551</v>
      </c>
      <c r="E20" s="5">
        <f t="shared" si="9"/>
        <v>-0.30999999988125637</v>
      </c>
      <c r="F20" s="1">
        <v>100000.68700000001</v>
      </c>
      <c r="G20" s="4">
        <v>4.5999999999999999E-3</v>
      </c>
      <c r="H20" s="18">
        <f t="shared" ca="1" si="1"/>
        <v>100000.70951180044</v>
      </c>
      <c r="I20" s="18">
        <f t="shared" ca="1" si="2"/>
        <v>100000.6310417161</v>
      </c>
      <c r="J20" s="18">
        <f t="shared" ca="1" si="3"/>
        <v>100000.78798188477</v>
      </c>
      <c r="K20" s="4"/>
      <c r="L20" s="4"/>
      <c r="M20" s="4"/>
      <c r="O20" s="7"/>
      <c r="P20" s="3"/>
      <c r="Q20" s="3"/>
      <c r="R20" s="6"/>
      <c r="S20" s="5"/>
      <c r="T20" s="2"/>
      <c r="U20" s="4"/>
    </row>
    <row r="21" spans="1:24" ht="14.4" x14ac:dyDescent="0.3">
      <c r="A21" s="7">
        <v>45519</v>
      </c>
      <c r="B21" s="3">
        <f t="shared" ref="B21" si="28">A21-A20</f>
        <v>311</v>
      </c>
      <c r="C21" s="3">
        <f>SUM(B$4:B21)</f>
        <v>4392</v>
      </c>
      <c r="D21" s="6">
        <f t="shared" ref="D21" si="29">(F21-100000)/100000*1000000</f>
        <v>7.5</v>
      </c>
      <c r="E21" s="5">
        <f t="shared" ref="E21" si="30">D21-D20</f>
        <v>0.62999999994644895</v>
      </c>
      <c r="F21" s="8">
        <v>100000.75</v>
      </c>
      <c r="G21" s="4">
        <v>4.5999999999999999E-3</v>
      </c>
      <c r="H21" s="18">
        <f t="shared" ca="1" si="1"/>
        <v>100000.72675837899</v>
      </c>
      <c r="I21" s="18">
        <f t="shared" ca="1" si="2"/>
        <v>100000.64742781772</v>
      </c>
      <c r="J21" s="18">
        <f t="shared" ca="1" si="3"/>
        <v>100000.80608894027</v>
      </c>
      <c r="K21"/>
      <c r="L21"/>
      <c r="M21"/>
      <c r="N21"/>
    </row>
    <row r="22" spans="1:24" x14ac:dyDescent="0.3">
      <c r="A22" s="7">
        <v>45726</v>
      </c>
      <c r="B22" s="3">
        <f t="shared" ref="B22" si="31">A22-A21</f>
        <v>207</v>
      </c>
      <c r="C22" s="3">
        <f>SUM(B$4:B22)</f>
        <v>4599</v>
      </c>
      <c r="D22" s="6">
        <f t="shared" ref="D22" si="32">(F22-100000)/100000*1000000</f>
        <v>7.8100000000267764</v>
      </c>
      <c r="E22" s="5">
        <f t="shared" ref="E22" si="33">D22-D21</f>
        <v>0.31000000002677641</v>
      </c>
      <c r="F22" s="8">
        <v>100000.781</v>
      </c>
      <c r="G22" s="4">
        <v>4.5999999999999999E-3</v>
      </c>
      <c r="H22" s="18">
        <f t="shared" ca="1" si="1"/>
        <v>100000.73823761295</v>
      </c>
      <c r="I22" s="18">
        <f t="shared" ca="1" si="2"/>
        <v>100000.65826173847</v>
      </c>
      <c r="J22" s="18">
        <f t="shared" ca="1" si="3"/>
        <v>100000.81821348744</v>
      </c>
    </row>
    <row r="23" spans="1:24" x14ac:dyDescent="0.3">
      <c r="A23" s="7">
        <v>46008</v>
      </c>
      <c r="B23" s="3">
        <f t="shared" ref="B23" si="34">A23-A22</f>
        <v>282</v>
      </c>
      <c r="C23" s="3">
        <f>SUM(B$4:B23)</f>
        <v>4881</v>
      </c>
      <c r="D23" s="6">
        <f t="shared" ref="D23" si="35">(F23-100000)/100000*1000000</f>
        <v>7.5900000000547152</v>
      </c>
      <c r="E23" s="5">
        <f t="shared" ref="E23" si="36">D23-D22</f>
        <v>-0.21999999997206121</v>
      </c>
      <c r="F23" s="8">
        <v>100000.75900000001</v>
      </c>
      <c r="G23" s="4">
        <v>4.5999999999999999E-3</v>
      </c>
      <c r="H23" s="18">
        <f t="shared" ca="1" si="1"/>
        <v>100000.75387598964</v>
      </c>
      <c r="I23" s="18">
        <f t="shared" ca="1" si="2"/>
        <v>100000.67293051285</v>
      </c>
      <c r="J23" s="18">
        <f t="shared" ca="1" si="3"/>
        <v>100000.83482146643</v>
      </c>
    </row>
    <row r="24" spans="1:24" x14ac:dyDescent="0.3">
      <c r="A24" s="7">
        <v>46225</v>
      </c>
      <c r="B24" s="3">
        <f t="shared" ref="B24" si="37">A24-A23</f>
        <v>217</v>
      </c>
      <c r="C24" s="3">
        <f>SUM(B$4:B24)</f>
        <v>5098</v>
      </c>
      <c r="D24" s="6">
        <f t="shared" ref="D24" si="38">(F24-100000)/100000*1000000</f>
        <v>7.7899999999499423</v>
      </c>
      <c r="E24" s="5">
        <f t="shared" ref="E24" si="39">D24-D23</f>
        <v>0.1999999998952271</v>
      </c>
      <c r="F24" s="8">
        <v>100000.77899999999</v>
      </c>
      <c r="G24" s="4">
        <v>2.2000000000000001E-3</v>
      </c>
      <c r="H24" s="18">
        <f t="shared" ca="1" si="1"/>
        <v>100000.76590977596</v>
      </c>
      <c r="I24" s="18">
        <f t="shared" ca="1" si="2"/>
        <v>100000.68414924968</v>
      </c>
      <c r="J24" s="18">
        <f t="shared" ca="1" si="3"/>
        <v>100000.84767030225</v>
      </c>
    </row>
    <row r="25" spans="1:24" x14ac:dyDescent="0.3">
      <c r="B25" s="3"/>
    </row>
    <row r="26" spans="1:24" x14ac:dyDescent="0.3">
      <c r="B26" s="3"/>
    </row>
    <row r="27" spans="1:24" x14ac:dyDescent="0.3">
      <c r="B27" s="3"/>
    </row>
    <row r="1048575" spans="20:20" x14ac:dyDescent="0.3">
      <c r="T1048575" s="2"/>
    </row>
  </sheetData>
  <mergeCells count="4">
    <mergeCell ref="H1:J1"/>
    <mergeCell ref="V1:X1"/>
    <mergeCell ref="L1:M1"/>
    <mergeCell ref="L8:M8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justed_x003f_ xmlns="e9030caa-ab7d-4043-a723-846408bcfa62">false</Adjusted_x003f_>
    <Cal_x002e_Date xmlns="e9030caa-ab7d-4043-a723-846408bcfa62" xsi:nil="true"/>
    <CalProvider xmlns="e9030caa-ab7d-4043-a723-846408bcfa62" xsi:nil="true"/>
    <ETEs xmlns="e9030caa-ab7d-4043-a723-846408bcfa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446D25-B4D4-43B4-82C0-907ED494944B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2.xml><?xml version="1.0" encoding="utf-8"?>
<ds:datastoreItem xmlns:ds="http://schemas.openxmlformats.org/officeDocument/2006/customXml" ds:itemID="{541BAFA0-8222-4399-B4BC-76401D78EC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4064B8-935A-4CF4-9236-E527D7690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100K Ohm</vt:lpstr>
      <vt:lpstr>df_PN010010</vt:lpstr>
      <vt:lpstr>'100K Ohm'!df_PN010011</vt:lpstr>
      <vt:lpstr>n_PN010010</vt:lpstr>
      <vt:lpstr>n_PN010011</vt:lpstr>
      <vt:lpstr>SSx_PN010010</vt:lpstr>
      <vt:lpstr>'100K Ohm'!SSx_PN010011</vt:lpstr>
      <vt:lpstr>Syx_PN010010</vt:lpstr>
      <vt:lpstr>'100K Ohm'!Syx_PN010011</vt:lpstr>
      <vt:lpstr>XBar_PN010010</vt:lpstr>
      <vt:lpstr>'100K Ohm'!XBar_PN010011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2023-11-17T07:51:18Z</dcterms:created>
  <dcterms:modified xsi:type="dcterms:W3CDTF">2026-09-14T23:54:20Z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