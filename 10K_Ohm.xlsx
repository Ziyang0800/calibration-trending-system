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iyanang\PycharmProjects\WelcomeScreen\"/>
    </mc:Choice>
  </mc:AlternateContent>
  <xr:revisionPtr revIDLastSave="0" documentId="13_ncr:1_{10870F49-1AD9-4CEE-8193-5DB1F6522574}" xr6:coauthVersionLast="47" xr6:coauthVersionMax="47" xr10:uidLastSave="{00000000-0000-0000-0000-000000000000}"/>
  <bookViews>
    <workbookView xWindow="-110" yWindow="-110" windowWidth="38620" windowHeight="21100" xr2:uid="{47FF3B62-B4F0-4F43-8211-A8638FF46103}"/>
  </bookViews>
  <sheets>
    <sheet name="10K Ohm" sheetId="1" r:id="rId1"/>
  </sheets>
  <definedNames>
    <definedName name="df_PN010008">'10K Ohm'!$M$10</definedName>
    <definedName name="df_PN010009" localSheetId="0">'10K Ohm'!$M$3</definedName>
    <definedName name="Known_xs_PN010008" localSheetId="0">OFFSET('10K Ohm'!$Q$3,,,COUNTA('10K Ohm'!$Q:$Q)-3)</definedName>
    <definedName name="Known_xs_PN010009" localSheetId="0">OFFSET('10K Ohm'!$C$3,,,COUNTA('10K Ohm'!$C:$C)-3)</definedName>
    <definedName name="Known_ys_PN010008" localSheetId="0">OFFSET('10K Ohm'!$T$3,,,COUNTA('10K Ohm'!$T:$T)-2)</definedName>
    <definedName name="Known_ys_PN010009" localSheetId="0">OFFSET('10K Ohm'!$F$3,,,COUNTA('10K Ohm'!$F:$F)-2)</definedName>
    <definedName name="n_PN010008" localSheetId="0">'10K Ohm'!$M$9</definedName>
    <definedName name="n_PN010009" localSheetId="0">'10K Ohm'!$M$2</definedName>
    <definedName name="PI_L_PN010008">OFFSET('10K Ohm'!$W$3,,,COUNTA('10K Ohm'!$W:$W)-1)</definedName>
    <definedName name="PI_L_PN010009">OFFSET('10K Ohm'!$I$3,,,COUNTA('10K Ohm'!$I:$I)-1)</definedName>
    <definedName name="PI_U_PN010008">OFFSET('10K Ohm'!$X$3,,,COUNTA('10K Ohm'!$X:$X)-1)</definedName>
    <definedName name="PI_U_PN010009">OFFSET('10K Ohm'!$J$3,,,COUNTA('10K Ohm'!$J:$J)-1)</definedName>
    <definedName name="Predicted_PN010008">OFFSET('10K Ohm'!XFD$3,,,COUNTA('10K Ohm'!$V:$V)-2)</definedName>
    <definedName name="Predicted_PN010009">OFFSET('10K Ohm'!$H$3,,,COUNTA('10K Ohm'!$H:$H)-2)</definedName>
    <definedName name="SSx_PN010008">'10K Ohm'!$M$13</definedName>
    <definedName name="SSx_PN010009" localSheetId="0">'10K Ohm'!$M$6</definedName>
    <definedName name="Syx_PN010008">'10K Ohm'!$M$12</definedName>
    <definedName name="Syx_PN010009" localSheetId="0">'10K Ohm'!$M$5</definedName>
    <definedName name="XBar_PN010008">'10K Ohm'!$M$11</definedName>
    <definedName name="XBar_PN010009" localSheetId="0">'10K Ohm'!$M$4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1" l="1"/>
  <c r="S26" i="1" s="1"/>
  <c r="Q26" i="1"/>
  <c r="V26" i="1" s="1"/>
  <c r="P26" i="1"/>
  <c r="D24" i="1"/>
  <c r="E24" i="1" s="1"/>
  <c r="B24" i="1"/>
  <c r="C24" i="1" s="1"/>
  <c r="H24" i="1" s="1"/>
  <c r="R25" i="1"/>
  <c r="P25" i="1"/>
  <c r="Q25" i="1" s="1"/>
  <c r="V25" i="1" s="1"/>
  <c r="R24" i="1"/>
  <c r="S24" i="1" s="1"/>
  <c r="P24" i="1"/>
  <c r="Q24" i="1" s="1"/>
  <c r="D23" i="1"/>
  <c r="E23" i="1" s="1"/>
  <c r="B23" i="1"/>
  <c r="C23" i="1" s="1"/>
  <c r="D22" i="1"/>
  <c r="E22" i="1" s="1"/>
  <c r="B22" i="1"/>
  <c r="C22" i="1" s="1"/>
  <c r="R23" i="1"/>
  <c r="S23" i="1" s="1"/>
  <c r="P23" i="1"/>
  <c r="Q23" i="1" s="1"/>
  <c r="S21" i="1"/>
  <c r="S22" i="1"/>
  <c r="Q22" i="1"/>
  <c r="P22" i="1"/>
  <c r="Q21" i="1"/>
  <c r="P21" i="1"/>
  <c r="R22" i="1"/>
  <c r="R21" i="1"/>
  <c r="B21" i="1"/>
  <c r="C21" i="1" s="1"/>
  <c r="E21" i="1"/>
  <c r="D21" i="1"/>
  <c r="B20" i="1"/>
  <c r="C20" i="1" s="1"/>
  <c r="E20" i="1"/>
  <c r="D20" i="1"/>
  <c r="H23" i="1" l="1"/>
  <c r="S25" i="1"/>
  <c r="V24" i="1"/>
  <c r="H22" i="1"/>
  <c r="H6" i="1"/>
  <c r="H7" i="1"/>
  <c r="H8" i="1"/>
  <c r="H9" i="1"/>
  <c r="H21" i="1"/>
  <c r="H10" i="1"/>
  <c r="H11" i="1"/>
  <c r="H17" i="1"/>
  <c r="H20" i="1"/>
  <c r="H12" i="1"/>
  <c r="H5" i="1"/>
  <c r="H18" i="1"/>
  <c r="H13" i="1"/>
  <c r="H14" i="1"/>
  <c r="H15" i="1"/>
  <c r="H16" i="1"/>
  <c r="H19" i="1"/>
  <c r="H4" i="1"/>
  <c r="V9" i="1"/>
  <c r="V21" i="1"/>
  <c r="V10" i="1"/>
  <c r="V22" i="1"/>
  <c r="V23" i="1"/>
  <c r="V11" i="1"/>
  <c r="V12" i="1"/>
  <c r="V8" i="1"/>
  <c r="V13" i="1"/>
  <c r="V20" i="1"/>
  <c r="V14" i="1"/>
  <c r="V15" i="1"/>
  <c r="V4" i="1"/>
  <c r="V16" i="1"/>
  <c r="V5" i="1"/>
  <c r="V17" i="1"/>
  <c r="V3" i="1"/>
  <c r="V6" i="1"/>
  <c r="V18" i="1"/>
  <c r="V7" i="1"/>
  <c r="V19" i="1"/>
  <c r="M2" i="1"/>
  <c r="M3" i="1" s="1"/>
  <c r="D3" i="1"/>
  <c r="U3" i="1"/>
  <c r="B4" i="1"/>
  <c r="C11" i="1" s="1"/>
  <c r="C4" i="1"/>
  <c r="D4" i="1"/>
  <c r="E4" i="1" s="1"/>
  <c r="P4" i="1"/>
  <c r="Q6" i="1" s="1"/>
  <c r="Q4" i="1"/>
  <c r="U4" i="1"/>
  <c r="B5" i="1"/>
  <c r="D5" i="1"/>
  <c r="E5" i="1" s="1"/>
  <c r="P5" i="1"/>
  <c r="Q10" i="1" s="1"/>
  <c r="Q5" i="1"/>
  <c r="R5" i="1"/>
  <c r="U5" i="1"/>
  <c r="B6" i="1"/>
  <c r="D6" i="1"/>
  <c r="E6" i="1"/>
  <c r="P6" i="1"/>
  <c r="R6" i="1"/>
  <c r="B7" i="1"/>
  <c r="D7" i="1"/>
  <c r="E7" i="1"/>
  <c r="P7" i="1"/>
  <c r="R7" i="1"/>
  <c r="B8" i="1"/>
  <c r="D8" i="1"/>
  <c r="E8" i="1"/>
  <c r="P8" i="1"/>
  <c r="R8" i="1"/>
  <c r="B9" i="1"/>
  <c r="D9" i="1"/>
  <c r="E9" i="1"/>
  <c r="P9" i="1"/>
  <c r="R9" i="1"/>
  <c r="B10" i="1"/>
  <c r="C10" i="1"/>
  <c r="D10" i="1"/>
  <c r="E10" i="1" s="1"/>
  <c r="P10" i="1"/>
  <c r="R10" i="1"/>
  <c r="B11" i="1"/>
  <c r="D11" i="1"/>
  <c r="E11" i="1" s="1"/>
  <c r="P11" i="1"/>
  <c r="Q11" i="1"/>
  <c r="R11" i="1"/>
  <c r="B12" i="1"/>
  <c r="D12" i="1"/>
  <c r="P12" i="1"/>
  <c r="Q12" i="1"/>
  <c r="R12" i="1"/>
  <c r="S12" i="1" s="1"/>
  <c r="B13" i="1"/>
  <c r="D13" i="1"/>
  <c r="E13" i="1"/>
  <c r="P13" i="1"/>
  <c r="Q13" i="1"/>
  <c r="R13" i="1"/>
  <c r="B14" i="1"/>
  <c r="D14" i="1"/>
  <c r="E14" i="1"/>
  <c r="P14" i="1"/>
  <c r="Q14" i="1"/>
  <c r="R14" i="1"/>
  <c r="S14" i="1" s="1"/>
  <c r="B15" i="1"/>
  <c r="D15" i="1"/>
  <c r="E15" i="1" s="1"/>
  <c r="P15" i="1"/>
  <c r="Q15" i="1"/>
  <c r="R15" i="1"/>
  <c r="B16" i="1"/>
  <c r="D16" i="1"/>
  <c r="P16" i="1"/>
  <c r="Q16" i="1"/>
  <c r="R16" i="1"/>
  <c r="B17" i="1"/>
  <c r="D17" i="1"/>
  <c r="E17" i="1"/>
  <c r="P17" i="1"/>
  <c r="Q17" i="1"/>
  <c r="R17" i="1"/>
  <c r="B18" i="1"/>
  <c r="D18" i="1"/>
  <c r="E18" i="1"/>
  <c r="P18" i="1"/>
  <c r="Q18" i="1"/>
  <c r="R18" i="1"/>
  <c r="B19" i="1"/>
  <c r="D19" i="1"/>
  <c r="E19" i="1"/>
  <c r="P19" i="1"/>
  <c r="Q19" i="1"/>
  <c r="R19" i="1"/>
  <c r="S20" i="1" s="1"/>
  <c r="P20" i="1"/>
  <c r="R20" i="1"/>
  <c r="E16" i="1" l="1"/>
  <c r="S17" i="1"/>
  <c r="S16" i="1"/>
  <c r="S18" i="1"/>
  <c r="S15" i="1"/>
  <c r="S6" i="1"/>
  <c r="S19" i="1"/>
  <c r="S8" i="1"/>
  <c r="S7" i="1"/>
  <c r="S10" i="1"/>
  <c r="S11" i="1"/>
  <c r="S9" i="1"/>
  <c r="R4" i="1"/>
  <c r="C9" i="1"/>
  <c r="C7" i="1"/>
  <c r="C6" i="1"/>
  <c r="C19" i="1"/>
  <c r="C17" i="1"/>
  <c r="C14" i="1"/>
  <c r="E12" i="1"/>
  <c r="Q8" i="1"/>
  <c r="Q20" i="1"/>
  <c r="C18" i="1"/>
  <c r="C16" i="1"/>
  <c r="C15" i="1"/>
  <c r="C13" i="1"/>
  <c r="Q7" i="1"/>
  <c r="C8" i="1"/>
  <c r="Q9" i="1"/>
  <c r="S13" i="1"/>
  <c r="C12" i="1"/>
  <c r="C5" i="1"/>
  <c r="H3" i="1" l="1"/>
  <c r="M6" i="1"/>
  <c r="M5" i="1"/>
  <c r="M13" i="1"/>
  <c r="M11" i="1"/>
  <c r="S5" i="1"/>
  <c r="M4" i="1"/>
  <c r="J24" i="1" l="1"/>
  <c r="I24" i="1" a="1"/>
  <c r="I24" i="1" s="1"/>
  <c r="J23" i="1"/>
  <c r="I23" i="1" a="1"/>
  <c r="I23" i="1" s="1"/>
  <c r="J22" i="1"/>
  <c r="I22" i="1" a="1"/>
  <c r="I22" i="1" s="1"/>
  <c r="I20" i="1" a="1"/>
  <c r="I20" i="1" s="1"/>
  <c r="I11" i="1" a="1"/>
  <c r="I11" i="1" s="1"/>
  <c r="J11" i="1"/>
  <c r="J15" i="1"/>
  <c r="J12" i="1"/>
  <c r="I7" i="1" a="1"/>
  <c r="I7" i="1" s="1"/>
  <c r="I10" i="1" a="1"/>
  <c r="I10" i="1" s="1"/>
  <c r="J13" i="1"/>
  <c r="J5" i="1"/>
  <c r="J18" i="1"/>
  <c r="I9" i="1" a="1"/>
  <c r="I9" i="1" s="1"/>
  <c r="I15" i="1" a="1"/>
  <c r="I15" i="1" s="1"/>
  <c r="I17" i="1" a="1"/>
  <c r="I17" i="1" s="1"/>
  <c r="I5" i="1" a="1"/>
  <c r="I5" i="1" s="1"/>
  <c r="J20" i="1"/>
  <c r="J9" i="1"/>
  <c r="J21" i="1"/>
  <c r="I18" i="1" a="1"/>
  <c r="I18" i="1" s="1"/>
  <c r="J17" i="1"/>
  <c r="I21" i="1" a="1"/>
  <c r="I21" i="1" s="1"/>
  <c r="I12" i="1" a="1"/>
  <c r="I12" i="1" s="1"/>
  <c r="I19" i="1" a="1"/>
  <c r="I19" i="1" s="1"/>
  <c r="J16" i="1"/>
  <c r="J8" i="1"/>
  <c r="I8" i="1" a="1"/>
  <c r="I8" i="1" s="1"/>
  <c r="I13" i="1" a="1"/>
  <c r="I13" i="1" s="1"/>
  <c r="J14" i="1"/>
  <c r="J10" i="1"/>
  <c r="J7" i="1"/>
  <c r="J6" i="1"/>
  <c r="J19" i="1"/>
  <c r="I6" i="1" a="1"/>
  <c r="I6" i="1" s="1"/>
  <c r="I16" i="1" a="1"/>
  <c r="I16" i="1" s="1"/>
  <c r="I4" i="1" a="1"/>
  <c r="I4" i="1" s="1"/>
  <c r="J4" i="1"/>
  <c r="I14" i="1" a="1"/>
  <c r="I14" i="1" s="1"/>
  <c r="I3" i="1" a="1"/>
  <c r="I3" i="1" s="1"/>
  <c r="J3" i="1"/>
  <c r="M12" i="1"/>
  <c r="M9" i="1"/>
  <c r="M10" i="1" s="1"/>
  <c r="R3" i="1"/>
  <c r="S4" i="1" s="1"/>
  <c r="W26" i="1" l="1"/>
  <c r="X26" i="1"/>
  <c r="X25" i="1"/>
  <c r="W25" i="1"/>
  <c r="X24" i="1"/>
  <c r="W24" i="1"/>
  <c r="X23" i="1"/>
  <c r="W23" i="1"/>
  <c r="W6" i="1"/>
  <c r="W10" i="1"/>
  <c r="W14" i="1"/>
  <c r="W22" i="1"/>
  <c r="X7" i="1"/>
  <c r="X11" i="1"/>
  <c r="W16" i="1"/>
  <c r="W19" i="1"/>
  <c r="X13" i="1"/>
  <c r="X14" i="1"/>
  <c r="X6" i="1"/>
  <c r="W17" i="1"/>
  <c r="W11" i="1"/>
  <c r="X22" i="1"/>
  <c r="X10" i="1"/>
  <c r="X4" i="1"/>
  <c r="X15" i="1"/>
  <c r="W9" i="1"/>
  <c r="X18" i="1"/>
  <c r="W20" i="1"/>
  <c r="X21" i="1"/>
  <c r="W8" i="1"/>
  <c r="X17" i="1"/>
  <c r="W15" i="1"/>
  <c r="W7" i="1"/>
  <c r="X9" i="1"/>
  <c r="W18" i="1"/>
  <c r="X5" i="1"/>
  <c r="W13" i="1"/>
  <c r="X20" i="1"/>
  <c r="W12" i="1"/>
  <c r="X16" i="1"/>
  <c r="W5" i="1"/>
  <c r="X12" i="1"/>
  <c r="W4" i="1"/>
  <c r="X8" i="1"/>
  <c r="X19" i="1"/>
  <c r="W21" i="1"/>
  <c r="W3" i="1"/>
  <c r="X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<sst xmlns="http://schemas.openxmlformats.org/spreadsheetml/2006/main" count="38" uniqueCount="21">
  <si>
    <t>ESI SR104</t>
  </si>
  <si>
    <t>PN010009</t>
  </si>
  <si>
    <t>Prediction Interval (95%)</t>
  </si>
  <si>
    <r>
      <rPr>
        <b/>
        <sz val="9"/>
        <color rgb="FFC00000"/>
        <rFont val="Calibri"/>
        <family val="2"/>
      </rPr>
      <t xml:space="preserve">← </t>
    </r>
    <r>
      <rPr>
        <b/>
        <sz val="9"/>
        <color theme="1"/>
        <rFont val="Arial"/>
        <family val="2"/>
      </rPr>
      <t>PN010009</t>
    </r>
  </si>
  <si>
    <t>PN010008</t>
  </si>
  <si>
    <t>Date</t>
  </si>
  <si>
    <r>
      <t>Since Last Cal</t>
    </r>
    <r>
      <rPr>
        <b/>
        <sz val="8"/>
        <color theme="0" tint="-4.9989318521683403E-2"/>
        <rFont val="Arial"/>
        <family val="2"/>
      </rPr>
      <t xml:space="preserve"> [Days]</t>
    </r>
  </si>
  <si>
    <r>
      <t>Accumulated</t>
    </r>
    <r>
      <rPr>
        <b/>
        <sz val="8"/>
        <color theme="0" tint="-4.9989318521683403E-2"/>
        <rFont val="Arial"/>
        <family val="2"/>
      </rPr>
      <t xml:space="preserve"> [Days]</t>
    </r>
  </si>
  <si>
    <r>
      <t>Error</t>
    </r>
    <r>
      <rPr>
        <b/>
        <sz val="8"/>
        <color theme="0" tint="-4.9989318521683403E-2"/>
        <rFont val="Arial"/>
        <family val="2"/>
      </rPr>
      <t xml:space="preserve"> [PPM]</t>
    </r>
  </si>
  <si>
    <r>
      <t>Drifted</t>
    </r>
    <r>
      <rPr>
        <b/>
        <sz val="8"/>
        <color theme="0" tint="-4.9989318521683403E-2"/>
        <rFont val="Arial"/>
        <family val="2"/>
      </rPr>
      <t xml:space="preserve"> [PPM]</t>
    </r>
  </si>
  <si>
    <r>
      <t>MU</t>
    </r>
    <r>
      <rPr>
        <b/>
        <sz val="8"/>
        <color theme="0" tint="-4.9989318521683403E-2"/>
        <rFont val="Arial"/>
        <family val="2"/>
      </rPr>
      <t xml:space="preserve"> (K =2)</t>
    </r>
  </si>
  <si>
    <t>Prediction</t>
  </si>
  <si>
    <t>Lower</t>
  </si>
  <si>
    <t>Upper</t>
  </si>
  <si>
    <t>n</t>
  </si>
  <si>
    <t>df</t>
  </si>
  <si>
    <t>Mean of X</t>
  </si>
  <si>
    <t>Syx</t>
  </si>
  <si>
    <t>SSx</t>
  </si>
  <si>
    <r>
      <t xml:space="preserve">PN010008 </t>
    </r>
    <r>
      <rPr>
        <b/>
        <sz val="9"/>
        <color rgb="FFC00000"/>
        <rFont val="Calibri"/>
        <family val="2"/>
      </rPr>
      <t>→</t>
    </r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</si>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</sst>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00000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mbria"/>
      <family val="1"/>
    </font>
    <font>
      <b/>
      <sz val="9"/>
      <color theme="1"/>
      <name val="Arial"/>
      <family val="2"/>
    </font>
    <font>
      <b/>
      <sz val="9"/>
      <color rgb="FFC00000"/>
      <name val="Calibri"/>
      <family val="2"/>
    </font>
    <font>
      <b/>
      <sz val="9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b/>
      <sz val="9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74F6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74F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PN010009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'10K Ohm'!$F$2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'10K Ohm'!$C$3:$C$24</c:f>
              <c:numCache>
                <c:formatCode>0</c:formatCode>
                <c:ptCount val="22"/>
                <c:pt idx="0">
                  <c:v>0</c:v>
                </c:pt>
                <c:pt idx="1">
                  <c:v>210</c:v>
                </c:pt>
                <c:pt idx="2">
                  <c:v>414</c:v>
                </c:pt>
                <c:pt idx="3">
                  <c:v>611</c:v>
                </c:pt>
                <c:pt idx="4">
                  <c:v>839</c:v>
                </c:pt>
                <c:pt idx="5">
                  <c:v>1028</c:v>
                </c:pt>
                <c:pt idx="6">
                  <c:v>1240</c:v>
                </c:pt>
                <c:pt idx="7">
                  <c:v>1470</c:v>
                </c:pt>
                <c:pt idx="8">
                  <c:v>1883</c:v>
                </c:pt>
                <c:pt idx="9">
                  <c:v>2115</c:v>
                </c:pt>
                <c:pt idx="10">
                  <c:v>2311</c:v>
                </c:pt>
                <c:pt idx="11">
                  <c:v>2535</c:v>
                </c:pt>
                <c:pt idx="12">
                  <c:v>2705</c:v>
                </c:pt>
                <c:pt idx="13">
                  <c:v>2851</c:v>
                </c:pt>
                <c:pt idx="14">
                  <c:v>3342</c:v>
                </c:pt>
                <c:pt idx="15">
                  <c:v>3569</c:v>
                </c:pt>
                <c:pt idx="16">
                  <c:v>3786</c:v>
                </c:pt>
                <c:pt idx="17">
                  <c:v>3987</c:v>
                </c:pt>
                <c:pt idx="18">
                  <c:v>4227</c:v>
                </c:pt>
                <c:pt idx="19">
                  <c:v>4543</c:v>
                </c:pt>
                <c:pt idx="20">
                  <c:v>4746</c:v>
                </c:pt>
                <c:pt idx="21">
                  <c:v>5027</c:v>
                </c:pt>
              </c:numCache>
            </c:numRef>
          </c:xVal>
          <c:yVal>
            <c:numRef>
              <c:f>'10K Ohm'!$F$3:$F$24</c:f>
              <c:numCache>
                <c:formatCode>0.00000</c:formatCode>
                <c:ptCount val="22"/>
                <c:pt idx="0">
                  <c:v>9999.9939099999992</c:v>
                </c:pt>
                <c:pt idx="1">
                  <c:v>9999.9956000000002</c:v>
                </c:pt>
                <c:pt idx="2">
                  <c:v>9999.9961000000003</c:v>
                </c:pt>
                <c:pt idx="3">
                  <c:v>9999.9961999999996</c:v>
                </c:pt>
                <c:pt idx="4">
                  <c:v>9999.9956999999995</c:v>
                </c:pt>
                <c:pt idx="5">
                  <c:v>9999.9958999999999</c:v>
                </c:pt>
                <c:pt idx="6">
                  <c:v>9999.9933999999994</c:v>
                </c:pt>
                <c:pt idx="7">
                  <c:v>9999.9943000000003</c:v>
                </c:pt>
                <c:pt idx="8">
                  <c:v>9999.9958999999999</c:v>
                </c:pt>
                <c:pt idx="9">
                  <c:v>9999.9982999999993</c:v>
                </c:pt>
                <c:pt idx="10">
                  <c:v>9999.9969999999994</c:v>
                </c:pt>
                <c:pt idx="11">
                  <c:v>9999.9984600000007</c:v>
                </c:pt>
                <c:pt idx="12">
                  <c:v>9999.9968900000003</c:v>
                </c:pt>
                <c:pt idx="13">
                  <c:v>9999.9983100000009</c:v>
                </c:pt>
                <c:pt idx="14">
                  <c:v>9999.9982500000006</c:v>
                </c:pt>
                <c:pt idx="15">
                  <c:v>9999.9959999999992</c:v>
                </c:pt>
                <c:pt idx="16">
                  <c:v>9999.9953999999998</c:v>
                </c:pt>
                <c:pt idx="17">
                  <c:v>9999.9961000000003</c:v>
                </c:pt>
                <c:pt idx="18">
                  <c:v>9999.9948000000004</c:v>
                </c:pt>
                <c:pt idx="19">
                  <c:v>9999.9955000000009</c:v>
                </c:pt>
                <c:pt idx="20">
                  <c:v>9999.9955000000009</c:v>
                </c:pt>
                <c:pt idx="21">
                  <c:v>9999.9951000000001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7-48B7-BC3B-86FB2755E2FD}"/>
            </c:ext>
          </c:extLst>
        </c:ser>
        <c:ser>
          <c:idx val="1"/>
          <c:order val="1"/>
          <c:tx>
            <c:strRef>
              <c:f>'10K Ohm'!$H$2</c:f>
              <c:strCache>
                <c:ptCount val="1"/>
                <c:pt idx="0">
                  <c:v>Prediction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'10K Ohm'!$C$3:$C$24</c:f>
              <c:numCache>
                <c:formatCode>0</c:formatCode>
                <c:ptCount val="22"/>
                <c:pt idx="0">
                  <c:v>0</c:v>
                </c:pt>
                <c:pt idx="1">
                  <c:v>210</c:v>
                </c:pt>
                <c:pt idx="2">
                  <c:v>414</c:v>
                </c:pt>
                <c:pt idx="3">
                  <c:v>611</c:v>
                </c:pt>
                <c:pt idx="4">
                  <c:v>839</c:v>
                </c:pt>
                <c:pt idx="5">
                  <c:v>1028</c:v>
                </c:pt>
                <c:pt idx="6">
                  <c:v>1240</c:v>
                </c:pt>
                <c:pt idx="7">
                  <c:v>1470</c:v>
                </c:pt>
                <c:pt idx="8">
                  <c:v>1883</c:v>
                </c:pt>
                <c:pt idx="9">
                  <c:v>2115</c:v>
                </c:pt>
                <c:pt idx="10">
                  <c:v>2311</c:v>
                </c:pt>
                <c:pt idx="11">
                  <c:v>2535</c:v>
                </c:pt>
                <c:pt idx="12">
                  <c:v>2705</c:v>
                </c:pt>
                <c:pt idx="13">
                  <c:v>2851</c:v>
                </c:pt>
                <c:pt idx="14">
                  <c:v>3342</c:v>
                </c:pt>
                <c:pt idx="15">
                  <c:v>3569</c:v>
                </c:pt>
                <c:pt idx="16">
                  <c:v>3786</c:v>
                </c:pt>
                <c:pt idx="17">
                  <c:v>3987</c:v>
                </c:pt>
                <c:pt idx="18">
                  <c:v>4227</c:v>
                </c:pt>
                <c:pt idx="19">
                  <c:v>4543</c:v>
                </c:pt>
                <c:pt idx="20">
                  <c:v>4746</c:v>
                </c:pt>
                <c:pt idx="21">
                  <c:v>5027</c:v>
                </c:pt>
              </c:numCache>
            </c:numRef>
          </c:xVal>
          <c:yVal>
            <c:numRef>
              <c:f>'10K Ohm'!$H$3:$H$24</c:f>
              <c:numCache>
                <c:formatCode>0.00000</c:formatCode>
                <c:ptCount val="22"/>
                <c:pt idx="0">
                  <c:v>9999.9956279677535</c:v>
                </c:pt>
                <c:pt idx="1">
                  <c:v>9999.9956684507379</c:v>
                </c:pt>
                <c:pt idx="2">
                  <c:v>9999.9957077770632</c:v>
                </c:pt>
                <c:pt idx="3">
                  <c:v>9999.9957457539585</c:v>
                </c:pt>
                <c:pt idx="4">
                  <c:v>9999.9957897069125</c:v>
                </c:pt>
                <c:pt idx="5">
                  <c:v>9999.9958261415977</c:v>
                </c:pt>
                <c:pt idx="6">
                  <c:v>9999.9958670101332</c:v>
                </c:pt>
                <c:pt idx="7">
                  <c:v>9999.9959113486384</c:v>
                </c:pt>
                <c:pt idx="8">
                  <c:v>9999.9959909651734</c:v>
                </c:pt>
                <c:pt idx="9">
                  <c:v>9999.9960356892316</c:v>
                </c:pt>
                <c:pt idx="10">
                  <c:v>9999.9960734733486</c:v>
                </c:pt>
                <c:pt idx="11">
                  <c:v>9999.9961166551984</c:v>
                </c:pt>
                <c:pt idx="12">
                  <c:v>9999.9961494271374</c:v>
                </c:pt>
                <c:pt idx="13">
                  <c:v>9999.9961775724496</c:v>
                </c:pt>
                <c:pt idx="14">
                  <c:v>9999.9962722255204</c:v>
                </c:pt>
                <c:pt idx="15">
                  <c:v>9999.9963159856979</c:v>
                </c:pt>
                <c:pt idx="16">
                  <c:v>9999.9963578181141</c:v>
                </c:pt>
                <c:pt idx="17">
                  <c:v>9999.9963965661136</c:v>
                </c:pt>
                <c:pt idx="18">
                  <c:v>9999.9964428323801</c:v>
                </c:pt>
                <c:pt idx="19">
                  <c:v>9999.9965037496313</c:v>
                </c:pt>
                <c:pt idx="20">
                  <c:v>9999.996542883182</c:v>
                </c:pt>
                <c:pt idx="21">
                  <c:v>9999.9965970532703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E7-48B7-BC3B-86FB2755E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'10K Ohm'!$C$3:$C$24</c:f>
              <c:numCache>
                <c:formatCode>0</c:formatCode>
                <c:ptCount val="22"/>
                <c:pt idx="0">
                  <c:v>0</c:v>
                </c:pt>
                <c:pt idx="1">
                  <c:v>210</c:v>
                </c:pt>
                <c:pt idx="2">
                  <c:v>414</c:v>
                </c:pt>
                <c:pt idx="3">
                  <c:v>611</c:v>
                </c:pt>
                <c:pt idx="4">
                  <c:v>839</c:v>
                </c:pt>
                <c:pt idx="5">
                  <c:v>1028</c:v>
                </c:pt>
                <c:pt idx="6">
                  <c:v>1240</c:v>
                </c:pt>
                <c:pt idx="7">
                  <c:v>1470</c:v>
                </c:pt>
                <c:pt idx="8">
                  <c:v>1883</c:v>
                </c:pt>
                <c:pt idx="9">
                  <c:v>2115</c:v>
                </c:pt>
                <c:pt idx="10">
                  <c:v>2311</c:v>
                </c:pt>
                <c:pt idx="11">
                  <c:v>2535</c:v>
                </c:pt>
                <c:pt idx="12">
                  <c:v>2705</c:v>
                </c:pt>
                <c:pt idx="13">
                  <c:v>2851</c:v>
                </c:pt>
                <c:pt idx="14">
                  <c:v>3342</c:v>
                </c:pt>
                <c:pt idx="15">
                  <c:v>3569</c:v>
                </c:pt>
                <c:pt idx="16">
                  <c:v>3786</c:v>
                </c:pt>
                <c:pt idx="17">
                  <c:v>3987</c:v>
                </c:pt>
                <c:pt idx="18">
                  <c:v>4227</c:v>
                </c:pt>
                <c:pt idx="19">
                  <c:v>4543</c:v>
                </c:pt>
                <c:pt idx="20">
                  <c:v>4746</c:v>
                </c:pt>
                <c:pt idx="21">
                  <c:v>5027</c:v>
                </c:pt>
              </c:numCache>
            </c:numRef>
          </c:xVal>
          <c:yVal>
            <c:numRef>
              <c:f>'10K Ohm'!$I$3:$I$24</c:f>
              <c:numCache>
                <c:formatCode>0.00000</c:formatCode>
                <c:ptCount val="22"/>
                <c:pt idx="0">
                  <c:v>9999.992414597582</c:v>
                </c:pt>
                <c:pt idx="1">
                  <c:v>9999.9924836022674</c:v>
                </c:pt>
                <c:pt idx="2">
                  <c:v>9999.992548241813</c:v>
                </c:pt>
                <c:pt idx="3">
                  <c:v>9999.992608370294</c:v>
                </c:pt>
                <c:pt idx="4">
                  <c:v>9999.9926750842242</c:v>
                </c:pt>
                <c:pt idx="5">
                  <c:v>9999.992728000725</c:v>
                </c:pt>
                <c:pt idx="6">
                  <c:v>9999.9927847373838</c:v>
                </c:pt>
                <c:pt idx="7">
                  <c:v>9999.9928431111148</c:v>
                </c:pt>
                <c:pt idx="8">
                  <c:v>9999.9929394879255</c:v>
                </c:pt>
                <c:pt idx="9">
                  <c:v>9999.9929888145125</c:v>
                </c:pt>
                <c:pt idx="10">
                  <c:v>9999.9930277717449</c:v>
                </c:pt>
                <c:pt idx="11">
                  <c:v>9999.9930692451962</c:v>
                </c:pt>
                <c:pt idx="12">
                  <c:v>9999.9930985528099</c:v>
                </c:pt>
                <c:pt idx="13">
                  <c:v>9999.9931222347532</c:v>
                </c:pt>
                <c:pt idx="14">
                  <c:v>9999.99319188359</c:v>
                </c:pt>
                <c:pt idx="15">
                  <c:v>9999.9932189517313</c:v>
                </c:pt>
                <c:pt idx="16">
                  <c:v>9999.9932418566877</c:v>
                </c:pt>
                <c:pt idx="17">
                  <c:v>9999.9932605284848</c:v>
                </c:pt>
                <c:pt idx="18">
                  <c:v>9999.9932796848425</c:v>
                </c:pt>
                <c:pt idx="19">
                  <c:v>9999.9932998388504</c:v>
                </c:pt>
                <c:pt idx="20">
                  <c:v>9999.9933098381789</c:v>
                </c:pt>
                <c:pt idx="21">
                  <c:v>9999.9933200073174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E7-48B7-BC3B-86FB2755E2FD}"/>
            </c:ext>
          </c:extLst>
        </c:ser>
        <c:ser>
          <c:idx val="3"/>
          <c:order val="3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'10K Ohm'!$C$3:$C$24</c:f>
              <c:numCache>
                <c:formatCode>0</c:formatCode>
                <c:ptCount val="22"/>
                <c:pt idx="0">
                  <c:v>0</c:v>
                </c:pt>
                <c:pt idx="1">
                  <c:v>210</c:v>
                </c:pt>
                <c:pt idx="2">
                  <c:v>414</c:v>
                </c:pt>
                <c:pt idx="3">
                  <c:v>611</c:v>
                </c:pt>
                <c:pt idx="4">
                  <c:v>839</c:v>
                </c:pt>
                <c:pt idx="5">
                  <c:v>1028</c:v>
                </c:pt>
                <c:pt idx="6">
                  <c:v>1240</c:v>
                </c:pt>
                <c:pt idx="7">
                  <c:v>1470</c:v>
                </c:pt>
                <c:pt idx="8">
                  <c:v>1883</c:v>
                </c:pt>
                <c:pt idx="9">
                  <c:v>2115</c:v>
                </c:pt>
                <c:pt idx="10">
                  <c:v>2311</c:v>
                </c:pt>
                <c:pt idx="11">
                  <c:v>2535</c:v>
                </c:pt>
                <c:pt idx="12">
                  <c:v>2705</c:v>
                </c:pt>
                <c:pt idx="13">
                  <c:v>2851</c:v>
                </c:pt>
                <c:pt idx="14">
                  <c:v>3342</c:v>
                </c:pt>
                <c:pt idx="15">
                  <c:v>3569</c:v>
                </c:pt>
                <c:pt idx="16">
                  <c:v>3786</c:v>
                </c:pt>
                <c:pt idx="17">
                  <c:v>3987</c:v>
                </c:pt>
                <c:pt idx="18">
                  <c:v>4227</c:v>
                </c:pt>
                <c:pt idx="19">
                  <c:v>4543</c:v>
                </c:pt>
                <c:pt idx="20">
                  <c:v>4746</c:v>
                </c:pt>
                <c:pt idx="21">
                  <c:v>5027</c:v>
                </c:pt>
              </c:numCache>
            </c:numRef>
          </c:xVal>
          <c:yVal>
            <c:numRef>
              <c:f>'10K Ohm'!$J$3:$J$24</c:f>
              <c:numCache>
                <c:formatCode>0.00000</c:formatCode>
                <c:ptCount val="22"/>
                <c:pt idx="0">
                  <c:v>9999.9988413379251</c:v>
                </c:pt>
                <c:pt idx="1">
                  <c:v>9999.9988532992083</c:v>
                </c:pt>
                <c:pt idx="2">
                  <c:v>9999.9988673123135</c:v>
                </c:pt>
                <c:pt idx="3">
                  <c:v>9999.9988831376231</c:v>
                </c:pt>
                <c:pt idx="4">
                  <c:v>9999.9989043296009</c:v>
                </c:pt>
                <c:pt idx="5">
                  <c:v>9999.9989242824704</c:v>
                </c:pt>
                <c:pt idx="6">
                  <c:v>9999.9989492828827</c:v>
                </c:pt>
                <c:pt idx="7">
                  <c:v>9999.998979586162</c:v>
                </c:pt>
                <c:pt idx="8">
                  <c:v>9999.9990424424213</c:v>
                </c:pt>
                <c:pt idx="9">
                  <c:v>9999.9990825639507</c:v>
                </c:pt>
                <c:pt idx="10">
                  <c:v>9999.9991191749523</c:v>
                </c:pt>
                <c:pt idx="11">
                  <c:v>9999.9991640652006</c:v>
                </c:pt>
                <c:pt idx="12">
                  <c:v>9999.999200301465</c:v>
                </c:pt>
                <c:pt idx="13">
                  <c:v>9999.999232910146</c:v>
                </c:pt>
                <c:pt idx="14">
                  <c:v>9999.9993525674508</c:v>
                </c:pt>
                <c:pt idx="15">
                  <c:v>9999.9994130196646</c:v>
                </c:pt>
                <c:pt idx="16">
                  <c:v>9999.9994737795405</c:v>
                </c:pt>
                <c:pt idx="17">
                  <c:v>9999.9995326037424</c:v>
                </c:pt>
                <c:pt idx="18">
                  <c:v>9999.9996059799178</c:v>
                </c:pt>
                <c:pt idx="19">
                  <c:v>9999.9997076604122</c:v>
                </c:pt>
                <c:pt idx="20">
                  <c:v>9999.999775928185</c:v>
                </c:pt>
                <c:pt idx="21">
                  <c:v>9999.9998740992232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E7-48B7-BC3B-86FB2755E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73724799425115"/>
          <c:y val="0.82849799161845106"/>
          <c:w val="0.73625727919235473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PN010008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layout>
        <c:manualLayout>
          <c:xMode val="edge"/>
          <c:yMode val="edge"/>
          <c:x val="0.27893063539873536"/>
          <c:y val="2.3809523809523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'10K Ohm'!$T$2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'10K Ohm'!$Q$3:$Q$26</c:f>
              <c:numCache>
                <c:formatCode>0</c:formatCode>
                <c:ptCount val="24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819</c:v>
                </c:pt>
                <c:pt idx="5">
                  <c:v>1036</c:v>
                </c:pt>
                <c:pt idx="6">
                  <c:v>1254</c:v>
                </c:pt>
                <c:pt idx="7">
                  <c:v>1549</c:v>
                </c:pt>
                <c:pt idx="8">
                  <c:v>2065</c:v>
                </c:pt>
                <c:pt idx="9">
                  <c:v>2264</c:v>
                </c:pt>
                <c:pt idx="10">
                  <c:v>2442</c:v>
                </c:pt>
                <c:pt idx="11">
                  <c:v>2585</c:v>
                </c:pt>
                <c:pt idx="12">
                  <c:v>2617</c:v>
                </c:pt>
                <c:pt idx="13">
                  <c:v>2627</c:v>
                </c:pt>
                <c:pt idx="14">
                  <c:v>2846</c:v>
                </c:pt>
                <c:pt idx="15">
                  <c:v>3049</c:v>
                </c:pt>
                <c:pt idx="16">
                  <c:v>3315</c:v>
                </c:pt>
                <c:pt idx="17">
                  <c:v>3532</c:v>
                </c:pt>
                <c:pt idx="18">
                  <c:v>3740</c:v>
                </c:pt>
                <c:pt idx="19">
                  <c:v>3970</c:v>
                </c:pt>
                <c:pt idx="20">
                  <c:v>4192</c:v>
                </c:pt>
                <c:pt idx="21">
                  <c:v>4446</c:v>
                </c:pt>
                <c:pt idx="22">
                  <c:v>4705</c:v>
                </c:pt>
                <c:pt idx="23">
                  <c:v>5019</c:v>
                </c:pt>
              </c:numCache>
            </c:numRef>
          </c:xVal>
          <c:yVal>
            <c:numRef>
              <c:f>'10K Ohm'!$T$3:$T$26</c:f>
              <c:numCache>
                <c:formatCode>0.00000</c:formatCode>
                <c:ptCount val="24"/>
                <c:pt idx="0">
                  <c:v>10000.038500000001</c:v>
                </c:pt>
                <c:pt idx="1">
                  <c:v>10000.0406</c:v>
                </c:pt>
                <c:pt idx="2">
                  <c:v>10000.038500000001</c:v>
                </c:pt>
                <c:pt idx="3">
                  <c:v>10000.040999999999</c:v>
                </c:pt>
                <c:pt idx="4">
                  <c:v>10000.041999999999</c:v>
                </c:pt>
                <c:pt idx="5">
                  <c:v>10000.040000000001</c:v>
                </c:pt>
                <c:pt idx="6">
                  <c:v>10000.041999999999</c:v>
                </c:pt>
                <c:pt idx="7">
                  <c:v>10000.040000000001</c:v>
                </c:pt>
                <c:pt idx="8">
                  <c:v>10000.045</c:v>
                </c:pt>
                <c:pt idx="9">
                  <c:v>10000.044</c:v>
                </c:pt>
                <c:pt idx="10">
                  <c:v>10000.045109999999</c:v>
                </c:pt>
                <c:pt idx="11">
                  <c:v>10000.045889999999</c:v>
                </c:pt>
                <c:pt idx="12">
                  <c:v>10000.045770000001</c:v>
                </c:pt>
                <c:pt idx="13">
                  <c:v>10000.04621</c:v>
                </c:pt>
                <c:pt idx="14">
                  <c:v>10000.045829999999</c:v>
                </c:pt>
                <c:pt idx="15">
                  <c:v>10000.046700000001</c:v>
                </c:pt>
                <c:pt idx="16">
                  <c:v>10000.043750000001</c:v>
                </c:pt>
                <c:pt idx="17">
                  <c:v>10000.043</c:v>
                </c:pt>
                <c:pt idx="18">
                  <c:v>10000.044900000001</c:v>
                </c:pt>
                <c:pt idx="19">
                  <c:v>10000.0442</c:v>
                </c:pt>
                <c:pt idx="20">
                  <c:v>10000.045099999999</c:v>
                </c:pt>
                <c:pt idx="21">
                  <c:v>10000.044</c:v>
                </c:pt>
                <c:pt idx="22">
                  <c:v>10000.0422</c:v>
                </c:pt>
                <c:pt idx="23">
                  <c:v>10000.044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B8-4E09-A48D-E95815DAB137}"/>
            </c:ext>
          </c:extLst>
        </c:ser>
        <c:ser>
          <c:idx val="1"/>
          <c:order val="1"/>
          <c:tx>
            <c:strRef>
              <c:f>'10K Ohm'!$V$2</c:f>
              <c:strCache>
                <c:ptCount val="1"/>
                <c:pt idx="0">
                  <c:v>Prediction</c:v>
                </c:pt>
              </c:strCache>
            </c:strRef>
          </c:tx>
          <c:spPr>
            <a:ln w="19050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'10K Ohm'!$Q$3:$Q$26</c:f>
              <c:numCache>
                <c:formatCode>0</c:formatCode>
                <c:ptCount val="24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819</c:v>
                </c:pt>
                <c:pt idx="5">
                  <c:v>1036</c:v>
                </c:pt>
                <c:pt idx="6">
                  <c:v>1254</c:v>
                </c:pt>
                <c:pt idx="7">
                  <c:v>1549</c:v>
                </c:pt>
                <c:pt idx="8">
                  <c:v>2065</c:v>
                </c:pt>
                <c:pt idx="9">
                  <c:v>2264</c:v>
                </c:pt>
                <c:pt idx="10">
                  <c:v>2442</c:v>
                </c:pt>
                <c:pt idx="11">
                  <c:v>2585</c:v>
                </c:pt>
                <c:pt idx="12">
                  <c:v>2617</c:v>
                </c:pt>
                <c:pt idx="13">
                  <c:v>2627</c:v>
                </c:pt>
                <c:pt idx="14">
                  <c:v>2846</c:v>
                </c:pt>
                <c:pt idx="15">
                  <c:v>3049</c:v>
                </c:pt>
                <c:pt idx="16">
                  <c:v>3315</c:v>
                </c:pt>
                <c:pt idx="17">
                  <c:v>3532</c:v>
                </c:pt>
                <c:pt idx="18">
                  <c:v>3740</c:v>
                </c:pt>
                <c:pt idx="19">
                  <c:v>3970</c:v>
                </c:pt>
                <c:pt idx="20">
                  <c:v>4192</c:v>
                </c:pt>
                <c:pt idx="21">
                  <c:v>4446</c:v>
                </c:pt>
                <c:pt idx="22">
                  <c:v>4705</c:v>
                </c:pt>
                <c:pt idx="23">
                  <c:v>5019</c:v>
                </c:pt>
              </c:numCache>
            </c:numRef>
          </c:xVal>
          <c:yVal>
            <c:numRef>
              <c:f>'10K Ohm'!$V$3:$V$26</c:f>
              <c:numCache>
                <c:formatCode>0.00000</c:formatCode>
                <c:ptCount val="24"/>
                <c:pt idx="0">
                  <c:v>10000.040443524678</c:v>
                </c:pt>
                <c:pt idx="1">
                  <c:v>10000.040669055195</c:v>
                </c:pt>
                <c:pt idx="2">
                  <c:v>10000.040911116745</c:v>
                </c:pt>
                <c:pt idx="3">
                  <c:v>10000.041164986176</c:v>
                </c:pt>
                <c:pt idx="4">
                  <c:v>10000.041410590089</c:v>
                </c:pt>
                <c:pt idx="5">
                  <c:v>10000.041666821096</c:v>
                </c:pt>
                <c:pt idx="6">
                  <c:v>10000.04192423289</c:v>
                </c:pt>
                <c:pt idx="7">
                  <c:v>10000.042272565364</c:v>
                </c:pt>
                <c:pt idx="8">
                  <c:v>10000.042881851996</c:v>
                </c:pt>
                <c:pt idx="9">
                  <c:v>10000.043116828818</c:v>
                </c:pt>
                <c:pt idx="10">
                  <c:v>10000.043327009091</c:v>
                </c:pt>
                <c:pt idx="11">
                  <c:v>10000.043495861781</c:v>
                </c:pt>
                <c:pt idx="12">
                  <c:v>10000.043533646998</c:v>
                </c:pt>
                <c:pt idx="13">
                  <c:v>10000.043545454879</c:v>
                </c:pt>
                <c:pt idx="14">
                  <c:v>10000.043804047462</c:v>
                </c:pt>
                <c:pt idx="15">
                  <c:v>10000.044043747435</c:v>
                </c:pt>
                <c:pt idx="16">
                  <c:v>10000.044357837056</c:v>
                </c:pt>
                <c:pt idx="17">
                  <c:v>10000.044614068063</c:v>
                </c:pt>
                <c:pt idx="18">
                  <c:v>10000.044859671976</c:v>
                </c:pt>
                <c:pt idx="19">
                  <c:v>10000.045131253228</c:v>
                </c:pt>
                <c:pt idx="20">
                  <c:v>10000.045393388174</c:v>
                </c:pt>
                <c:pt idx="21">
                  <c:v>10000.045693308339</c:v>
                </c:pt>
                <c:pt idx="22">
                  <c:v>10000.045999132442</c:v>
                </c:pt>
                <c:pt idx="23">
                  <c:v>10000.04636989989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B8-4E09-A48D-E95815DAB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'10K Ohm'!$Q$3:$Q$26</c:f>
              <c:numCache>
                <c:formatCode>0</c:formatCode>
                <c:ptCount val="24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819</c:v>
                </c:pt>
                <c:pt idx="5">
                  <c:v>1036</c:v>
                </c:pt>
                <c:pt idx="6">
                  <c:v>1254</c:v>
                </c:pt>
                <c:pt idx="7">
                  <c:v>1549</c:v>
                </c:pt>
                <c:pt idx="8">
                  <c:v>2065</c:v>
                </c:pt>
                <c:pt idx="9">
                  <c:v>2264</c:v>
                </c:pt>
                <c:pt idx="10">
                  <c:v>2442</c:v>
                </c:pt>
                <c:pt idx="11">
                  <c:v>2585</c:v>
                </c:pt>
                <c:pt idx="12">
                  <c:v>2617</c:v>
                </c:pt>
                <c:pt idx="13">
                  <c:v>2627</c:v>
                </c:pt>
                <c:pt idx="14">
                  <c:v>2846</c:v>
                </c:pt>
                <c:pt idx="15">
                  <c:v>3049</c:v>
                </c:pt>
                <c:pt idx="16">
                  <c:v>3315</c:v>
                </c:pt>
                <c:pt idx="17">
                  <c:v>3532</c:v>
                </c:pt>
                <c:pt idx="18">
                  <c:v>3740</c:v>
                </c:pt>
                <c:pt idx="19">
                  <c:v>3970</c:v>
                </c:pt>
                <c:pt idx="20">
                  <c:v>4192</c:v>
                </c:pt>
                <c:pt idx="21">
                  <c:v>4446</c:v>
                </c:pt>
                <c:pt idx="22">
                  <c:v>4705</c:v>
                </c:pt>
                <c:pt idx="23">
                  <c:v>5019</c:v>
                </c:pt>
              </c:numCache>
            </c:numRef>
          </c:xVal>
          <c:yVal>
            <c:numRef>
              <c:f>'10K Ohm'!$W$3:$W$26</c:f>
              <c:numCache>
                <c:formatCode>0.00000</c:formatCode>
                <c:ptCount val="24"/>
                <c:pt idx="0">
                  <c:v>10000.036148841782</c:v>
                </c:pt>
                <c:pt idx="1">
                  <c:v>10000.036410450597</c:v>
                </c:pt>
                <c:pt idx="2">
                  <c:v>10000.036688146016</c:v>
                </c:pt>
                <c:pt idx="3">
                  <c:v>10000.036975864743</c:v>
                </c:pt>
                <c:pt idx="4">
                  <c:v>10000.037250701869</c:v>
                </c:pt>
                <c:pt idx="5">
                  <c:v>10000.037533667459</c:v>
                </c:pt>
                <c:pt idx="6">
                  <c:v>10000.037813992734</c:v>
                </c:pt>
                <c:pt idx="7">
                  <c:v>10000.038186921065</c:v>
                </c:pt>
                <c:pt idx="8">
                  <c:v>10000.038821155724</c:v>
                </c:pt>
                <c:pt idx="9">
                  <c:v>10000.039059531588</c:v>
                </c:pt>
                <c:pt idx="10">
                  <c:v>10000.039269801731</c:v>
                </c:pt>
                <c:pt idx="11">
                  <c:v>10000.039436707935</c:v>
                </c:pt>
                <c:pt idx="12">
                  <c:v>10000.039473811526</c:v>
                </c:pt>
                <c:pt idx="13">
                  <c:v>10000.039485387961</c:v>
                </c:pt>
                <c:pt idx="14">
                  <c:v>10000.039736714052</c:v>
                </c:pt>
                <c:pt idx="15">
                  <c:v>10000.039965939084</c:v>
                </c:pt>
                <c:pt idx="16">
                  <c:v>10000.040260905509</c:v>
                </c:pt>
                <c:pt idx="17">
                  <c:v>10000.040497055976</c:v>
                </c:pt>
                <c:pt idx="18">
                  <c:v>10000.040719691193</c:v>
                </c:pt>
                <c:pt idx="19">
                  <c:v>10000.040961707695</c:v>
                </c:pt>
                <c:pt idx="20">
                  <c:v>10000.041191239919</c:v>
                </c:pt>
                <c:pt idx="21">
                  <c:v>10000.041449078471</c:v>
                </c:pt>
                <c:pt idx="22">
                  <c:v>10000.041706889948</c:v>
                </c:pt>
                <c:pt idx="23">
                  <c:v>10000.042012783919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B8-4E09-A48D-E95815DAB137}"/>
            </c:ext>
          </c:extLst>
        </c:ser>
        <c:ser>
          <c:idx val="3"/>
          <c:order val="3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'10K Ohm'!$Q$3:$Q$26</c:f>
              <c:numCache>
                <c:formatCode>0</c:formatCode>
                <c:ptCount val="24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819</c:v>
                </c:pt>
                <c:pt idx="5">
                  <c:v>1036</c:v>
                </c:pt>
                <c:pt idx="6">
                  <c:v>1254</c:v>
                </c:pt>
                <c:pt idx="7">
                  <c:v>1549</c:v>
                </c:pt>
                <c:pt idx="8">
                  <c:v>2065</c:v>
                </c:pt>
                <c:pt idx="9">
                  <c:v>2264</c:v>
                </c:pt>
                <c:pt idx="10">
                  <c:v>2442</c:v>
                </c:pt>
                <c:pt idx="11">
                  <c:v>2585</c:v>
                </c:pt>
                <c:pt idx="12">
                  <c:v>2617</c:v>
                </c:pt>
                <c:pt idx="13">
                  <c:v>2627</c:v>
                </c:pt>
                <c:pt idx="14">
                  <c:v>2846</c:v>
                </c:pt>
                <c:pt idx="15">
                  <c:v>3049</c:v>
                </c:pt>
                <c:pt idx="16">
                  <c:v>3315</c:v>
                </c:pt>
                <c:pt idx="17">
                  <c:v>3532</c:v>
                </c:pt>
                <c:pt idx="18">
                  <c:v>3740</c:v>
                </c:pt>
                <c:pt idx="19">
                  <c:v>3970</c:v>
                </c:pt>
                <c:pt idx="20">
                  <c:v>4192</c:v>
                </c:pt>
                <c:pt idx="21">
                  <c:v>4446</c:v>
                </c:pt>
                <c:pt idx="22">
                  <c:v>4705</c:v>
                </c:pt>
                <c:pt idx="23">
                  <c:v>5019</c:v>
                </c:pt>
              </c:numCache>
            </c:numRef>
          </c:xVal>
          <c:yVal>
            <c:numRef>
              <c:f>'10K Ohm'!$X$3:$X$26</c:f>
              <c:numCache>
                <c:formatCode>0.00000</c:formatCode>
                <c:ptCount val="24"/>
                <c:pt idx="0">
                  <c:v>10000.044738207574</c:v>
                </c:pt>
                <c:pt idx="1">
                  <c:v>10000.044927659794</c:v>
                </c:pt>
                <c:pt idx="2">
                  <c:v>10000.045134087473</c:v>
                </c:pt>
                <c:pt idx="3">
                  <c:v>10000.045354107609</c:v>
                </c:pt>
                <c:pt idx="4">
                  <c:v>10000.045570478309</c:v>
                </c:pt>
                <c:pt idx="5">
                  <c:v>10000.045799974734</c:v>
                </c:pt>
                <c:pt idx="6">
                  <c:v>10000.046034473045</c:v>
                </c:pt>
                <c:pt idx="7">
                  <c:v>10000.046358209664</c:v>
                </c:pt>
                <c:pt idx="8">
                  <c:v>10000.046942548268</c:v>
                </c:pt>
                <c:pt idx="9">
                  <c:v>10000.047174126048</c:v>
                </c:pt>
                <c:pt idx="10">
                  <c:v>10000.04738421645</c:v>
                </c:pt>
                <c:pt idx="11">
                  <c:v>10000.047555015626</c:v>
                </c:pt>
                <c:pt idx="12">
                  <c:v>10000.04759348247</c:v>
                </c:pt>
                <c:pt idx="13">
                  <c:v>10000.047605521797</c:v>
                </c:pt>
                <c:pt idx="14">
                  <c:v>10000.047871380872</c:v>
                </c:pt>
                <c:pt idx="15">
                  <c:v>10000.048121555787</c:v>
                </c:pt>
                <c:pt idx="16">
                  <c:v>10000.048454768603</c:v>
                </c:pt>
                <c:pt idx="17">
                  <c:v>10000.048731080151</c:v>
                </c:pt>
                <c:pt idx="18">
                  <c:v>10000.048999652759</c:v>
                </c:pt>
                <c:pt idx="19">
                  <c:v>10000.049300798761</c:v>
                </c:pt>
                <c:pt idx="20">
                  <c:v>10000.049595536429</c:v>
                </c:pt>
                <c:pt idx="21">
                  <c:v>10000.049937538206</c:v>
                </c:pt>
                <c:pt idx="22">
                  <c:v>10000.050291374937</c:v>
                </c:pt>
                <c:pt idx="23">
                  <c:v>10000.050727015861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B8-4E09-A48D-E95815DAB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554551388843902E-2"/>
          <c:y val="0.82849799161845106"/>
          <c:w val="0.82644001876743534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1077327</xdr:colOff>
      <xdr:row>24</xdr:row>
      <xdr:rowOff>167752</xdr:rowOff>
    </xdr:from>
    <xdr:to>
      <xdr:col>9</xdr:col>
      <xdr:colOff>284063</xdr:colOff>
      <xdr:row>41</xdr:row>
      <xdr:rowOff>129652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9A10D-CF27-4674-98C2-159050C86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253695</xdr:colOff>
      <xdr:row>26</xdr:row>
      <xdr:rowOff>32085</xdr:rowOff>
    </xdr:from>
    <xdr:to>
      <xdr:col>21</xdr:col>
      <xdr:colOff>358022</xdr:colOff>
      <xdr:row>42</xdr:row>
      <xdr:rowOff>184485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3B5A0F-E5C9-4F37-9BBC-B2210DEA4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Refreshed Keysight Theme">
      <a:dk1>
        <a:sysClr val="windowText" lastClr="000000"/>
      </a:dk1>
      <a:lt1>
        <a:srgbClr val="FFFFFF"/>
      </a:lt1>
      <a:dk2>
        <a:srgbClr val="A4A1A9"/>
      </a:dk2>
      <a:lt2>
        <a:srgbClr val="FFA623"/>
      </a:lt2>
      <a:accent1>
        <a:srgbClr val="E90029"/>
      </a:accent1>
      <a:accent2>
        <a:srgbClr val="E76C27"/>
      </a:accent2>
      <a:accent3>
        <a:srgbClr val="8D3785"/>
      </a:accent3>
      <a:accent4>
        <a:srgbClr val="5B348A"/>
      </a:accent4>
      <a:accent5>
        <a:srgbClr val="225792"/>
      </a:accent5>
      <a:accent6>
        <a:srgbClr val="07858B"/>
      </a:accent6>
      <a:hlink>
        <a:srgbClr val="E90029"/>
      </a:hlink>
      <a:folHlink>
        <a:srgbClr val="74001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2D10-FA4F-40B6-A455-40E8F3FAE635}">
  <sheetPr>
    <tabColor theme="9" tint="0.39997558519241921"/>
  </sheetPr>
  <dimension ref="A1:X1048575"/>
  <sheetViews>
    <sheetView tabSelected="1" zoomScale="95" zoomScaleNormal="95" workbookViewId="0">
      <selection activeCell="F2" sqref="F2"/>
    </sheetView>
  </sheetViews>
  <sheetFormatPr defaultColWidth="8.81640625" defaultRowHeight="14.5" x14ac:dyDescent="0.35"/>
  <cols>
    <col min="1" max="1" width="11" style="1" customWidth="1"/>
    <col min="2" max="2" width="18.1796875" style="1" bestFit="1" customWidth="1"/>
    <col min="3" max="3" width="17.26953125" style="1" bestFit="1" customWidth="1"/>
    <col min="4" max="4" width="10.1796875" style="1" bestFit="1" customWidth="1"/>
    <col min="5" max="5" width="11.453125" style="1" bestFit="1" customWidth="1"/>
    <col min="6" max="6" width="10.453125" style="1" bestFit="1" customWidth="1"/>
    <col min="7" max="7" width="8.26953125" style="1" bestFit="1" customWidth="1"/>
    <col min="8" max="10" width="12.453125" style="1" bestFit="1" customWidth="1"/>
    <col min="11" max="11" width="1" customWidth="1"/>
    <col min="12" max="12" width="8.453125" bestFit="1" customWidth="1"/>
    <col min="13" max="13" width="12" bestFit="1" customWidth="1"/>
    <col min="14" max="14" width="1" customWidth="1"/>
    <col min="15" max="15" width="10.54296875" style="1" customWidth="1"/>
    <col min="16" max="16" width="18.1796875" style="1" bestFit="1" customWidth="1"/>
    <col min="17" max="17" width="17.26953125" style="1" bestFit="1" customWidth="1"/>
    <col min="18" max="18" width="10.1796875" style="1" bestFit="1" customWidth="1"/>
    <col min="19" max="20" width="11.453125" style="1" bestFit="1" customWidth="1"/>
    <col min="21" max="21" width="8.26953125" style="1" bestFit="1" customWidth="1"/>
    <col min="22" max="23" width="11.453125" style="1" bestFit="1" customWidth="1"/>
    <col min="24" max="24" width="12.453125" style="1" bestFit="1" customWidth="1"/>
    <col min="25" max="16384" width="8.81640625" style="1"/>
  </cols>
  <sheetData>
    <row r="1" spans="1:24" ht="12" x14ac:dyDescent="0.35">
      <c r="A1" s="14"/>
      <c r="B1" s="12" t="s">
        <v>0</v>
      </c>
      <c r="C1" s="15" t="s">
        <v>1</v>
      </c>
      <c r="D1" s="15">
        <v>834024</v>
      </c>
      <c r="E1" s="14"/>
      <c r="F1" s="14"/>
      <c r="G1" s="14"/>
      <c r="H1" s="20" t="s">
        <v>2</v>
      </c>
      <c r="I1" s="20"/>
      <c r="J1" s="20"/>
      <c r="K1" s="9"/>
      <c r="L1" s="19" t="s">
        <v>3</v>
      </c>
      <c r="M1" s="19"/>
      <c r="N1" s="9"/>
      <c r="O1" s="14"/>
      <c r="P1" s="12" t="s">
        <v>0</v>
      </c>
      <c r="Q1" s="15" t="s">
        <v>4</v>
      </c>
      <c r="R1" s="15">
        <v>834041</v>
      </c>
      <c r="S1" s="14"/>
      <c r="T1" s="14"/>
      <c r="U1" s="14"/>
      <c r="V1" s="20" t="s">
        <v>2</v>
      </c>
      <c r="W1" s="20"/>
      <c r="X1" s="20"/>
    </row>
    <row r="2" spans="1:24" ht="13.15" customHeight="1" x14ac:dyDescent="0.35">
      <c r="A2" s="12" t="s">
        <v>5</v>
      </c>
      <c r="B2" s="12" t="s">
        <v>6</v>
      </c>
      <c r="C2" s="12" t="s">
        <v>7</v>
      </c>
      <c r="D2" s="12" t="s">
        <v>8</v>
      </c>
      <c r="E2" s="12" t="s">
        <v>9</v>
      </c>
      <c r="F2" s="13" t="s">
        <v>20</v>
      </c>
      <c r="G2" s="12" t="s">
        <v>10</v>
      </c>
      <c r="H2" s="16" t="s">
        <v>11</v>
      </c>
      <c r="I2" s="16" t="s">
        <v>12</v>
      </c>
      <c r="J2" s="16" t="s">
        <v>13</v>
      </c>
      <c r="K2" s="9"/>
      <c r="L2" s="17" t="s">
        <v>14</v>
      </c>
      <c r="M2" s="11">
        <f ca="1">COUNT(Known_ys_PN010009)</f>
        <v>21</v>
      </c>
      <c r="N2" s="9"/>
      <c r="O2" s="12" t="s">
        <v>5</v>
      </c>
      <c r="P2" s="12" t="s">
        <v>6</v>
      </c>
      <c r="Q2" s="12" t="s">
        <v>7</v>
      </c>
      <c r="R2" s="12" t="s">
        <v>8</v>
      </c>
      <c r="S2" s="12" t="s">
        <v>9</v>
      </c>
      <c r="T2" s="13" t="s">
        <v>20</v>
      </c>
      <c r="U2" s="12" t="s">
        <v>10</v>
      </c>
      <c r="V2" s="16" t="s">
        <v>11</v>
      </c>
      <c r="W2" s="16" t="s">
        <v>12</v>
      </c>
      <c r="X2" s="16" t="s">
        <v>13</v>
      </c>
    </row>
    <row r="3" spans="1:24" ht="12" customHeight="1" x14ac:dyDescent="0.35">
      <c r="A3" s="7">
        <v>40981</v>
      </c>
      <c r="B3" s="3">
        <v>0</v>
      </c>
      <c r="C3" s="3">
        <v>0</v>
      </c>
      <c r="D3" s="6">
        <f t="shared" ref="D3:D21" si="0">(F3-10000)/10000*1000000</f>
        <v>-0.6090000000767759</v>
      </c>
      <c r="E3" s="6"/>
      <c r="F3" s="2">
        <v>9999.9939099999992</v>
      </c>
      <c r="G3" s="4">
        <v>0.01</v>
      </c>
      <c r="H3" s="18">
        <f t="shared" ref="H3:H24" ca="1" si="1">_xlfn.FORECAST.LINEAR($C3,Known_ys_PN010009,Known_xs_PN010009)</f>
        <v>9999.9956279677535</v>
      </c>
      <c r="I3" s="18" cm="1">
        <f t="array" aca="1" ref="I3" ca="1">$H3-ABS(_xlfn.T.INV(0.025,df_PN010009))*(Syx_PN010009*SQRT(1+1/n_PN010009+($C3-XBar_PN010009)^2/SSx_PN010009))</f>
        <v>9999.992414597582</v>
      </c>
      <c r="J3" s="18">
        <f t="shared" ref="J3:J24" ca="1" si="2">$H3+ABS(_xlfn.T.INV(0.025,df_PN010009))*(Syx_PN010009*SQRT(1+1/n_PN010009+($C3-XBar_PN010009)^2/SSx_PN010009))</f>
        <v>9999.9988413379251</v>
      </c>
      <c r="K3" s="9"/>
      <c r="L3" s="17" t="s">
        <v>15</v>
      </c>
      <c r="M3" s="11">
        <f ca="1">n_PN010009-2</f>
        <v>19</v>
      </c>
      <c r="N3" s="9"/>
      <c r="O3" s="7">
        <v>41127</v>
      </c>
      <c r="P3" s="3">
        <v>0</v>
      </c>
      <c r="Q3" s="3">
        <v>0</v>
      </c>
      <c r="R3" s="6">
        <f t="shared" ref="R3:R22" si="3">(T3-10000)/10000*1000000</f>
        <v>3.8500000000567525</v>
      </c>
      <c r="S3" s="6"/>
      <c r="T3" s="2">
        <v>10000.038500000001</v>
      </c>
      <c r="U3" s="4">
        <f>1*10000/1000000</f>
        <v>0.01</v>
      </c>
      <c r="V3" s="18">
        <f t="shared" ref="V3:V26" ca="1" si="4">_xlfn.FORECAST.LINEAR($Q3,Known_ys_PN010008,Known_xs_PN010008)</f>
        <v>10000.040443524678</v>
      </c>
      <c r="W3" s="18">
        <f t="shared" ref="W3:W26" ca="1" si="5">$V3-ABS(_xlfn.T.INV(0.025,df_PN010008))*(Syx_PN010008*SQRT(1+1/n_PN010008+($Q3-XBar_PN010008)^2/SSx_PN010008))</f>
        <v>10000.036148841782</v>
      </c>
      <c r="X3" s="18">
        <f t="shared" ref="X3:X26" ca="1" si="6">$V3+ABS(_xlfn.T.INV(0.025,df_PN010008))*(Syx_PN010008*SQRT(1+1/n_PN010008+($Q3-XBar_PN010008)^2/SSx_PN010008))</f>
        <v>10000.044738207574</v>
      </c>
    </row>
    <row r="4" spans="1:24" ht="12" customHeight="1" x14ac:dyDescent="0.35">
      <c r="A4" s="7">
        <v>41191</v>
      </c>
      <c r="B4" s="3">
        <f t="shared" ref="B4:B21" si="7">A4-A3</f>
        <v>210</v>
      </c>
      <c r="C4" s="3">
        <f>SUM(B$4:B4)</f>
        <v>210</v>
      </c>
      <c r="D4" s="6">
        <f t="shared" si="0"/>
        <v>-0.43999999998050043</v>
      </c>
      <c r="E4" s="5">
        <f t="shared" ref="E4:E21" si="8">D4-D3</f>
        <v>0.16900000009627547</v>
      </c>
      <c r="F4" s="2">
        <v>9999.9956000000002</v>
      </c>
      <c r="G4" s="4">
        <v>0.01</v>
      </c>
      <c r="H4" s="18">
        <f t="shared" ca="1" si="1"/>
        <v>9999.9956684507379</v>
      </c>
      <c r="I4" s="18" cm="1">
        <f t="array" aca="1" ref="I4" ca="1">$H4-ABS(_xlfn.T.INV(0.025,df_PN010009))*(Syx_PN010009*SQRT(1+1/n_PN010009+($C4-XBar_PN010009)^2/SSx_PN010009))</f>
        <v>9999.9924836022674</v>
      </c>
      <c r="J4" s="18">
        <f t="shared" ca="1" si="2"/>
        <v>9999.9988532992083</v>
      </c>
      <c r="K4" s="9"/>
      <c r="L4" s="17" t="s">
        <v>16</v>
      </c>
      <c r="M4" s="11">
        <f ca="1">AVERAGE(Known_xs_PN010009)</f>
        <v>2305.3333333333335</v>
      </c>
      <c r="N4" s="9"/>
      <c r="O4" s="7">
        <v>41318</v>
      </c>
      <c r="P4" s="3">
        <f t="shared" ref="P4:P20" si="9">O4-O3</f>
        <v>191</v>
      </c>
      <c r="Q4" s="3">
        <f>SUM(P$4:P4)</f>
        <v>191</v>
      </c>
      <c r="R4" s="6">
        <f t="shared" si="3"/>
        <v>4.0600000000267755</v>
      </c>
      <c r="S4" s="5">
        <f t="shared" ref="S4:S20" si="10">R4-R3</f>
        <v>0.20999999997002305</v>
      </c>
      <c r="T4" s="2">
        <v>10000.0406</v>
      </c>
      <c r="U4" s="4">
        <f>1*10000/1000000</f>
        <v>0.01</v>
      </c>
      <c r="V4" s="18">
        <f t="shared" ca="1" si="4"/>
        <v>10000.040669055195</v>
      </c>
      <c r="W4" s="18">
        <f t="shared" ca="1" si="5"/>
        <v>10000.036410450597</v>
      </c>
      <c r="X4" s="18">
        <f t="shared" ca="1" si="6"/>
        <v>10000.044927659794</v>
      </c>
    </row>
    <row r="5" spans="1:24" ht="12" customHeight="1" x14ac:dyDescent="0.35">
      <c r="A5" s="7">
        <v>41395</v>
      </c>
      <c r="B5" s="3">
        <f t="shared" si="7"/>
        <v>204</v>
      </c>
      <c r="C5" s="3">
        <f>SUM(B$4:B5)</f>
        <v>414</v>
      </c>
      <c r="D5" s="6">
        <f t="shared" si="0"/>
        <v>-0.38999999997031409</v>
      </c>
      <c r="E5" s="5">
        <f t="shared" si="8"/>
        <v>5.0000000010186341E-2</v>
      </c>
      <c r="F5" s="2">
        <v>9999.9961000000003</v>
      </c>
      <c r="G5" s="4">
        <v>0.01</v>
      </c>
      <c r="H5" s="18">
        <f t="shared" ca="1" si="1"/>
        <v>9999.9957077770632</v>
      </c>
      <c r="I5" s="18" cm="1">
        <f t="array" aca="1" ref="I5" ca="1">$H5-ABS(_xlfn.T.INV(0.025,df_PN010009))*(Syx_PN010009*SQRT(1+1/n_PN010009+($C5-XBar_PN010009)^2/SSx_PN010009))</f>
        <v>9999.992548241813</v>
      </c>
      <c r="J5" s="18">
        <f t="shared" ca="1" si="2"/>
        <v>9999.9988673123135</v>
      </c>
      <c r="K5" s="9"/>
      <c r="L5" s="17" t="s">
        <v>17</v>
      </c>
      <c r="M5" s="11">
        <f ca="1">STEYX(Known_ys_PN010009,Known_xs_PN010009)</f>
        <v>1.4217108931289222E-3</v>
      </c>
      <c r="N5" s="9"/>
      <c r="O5" s="7">
        <v>41523</v>
      </c>
      <c r="P5" s="3">
        <f t="shared" si="9"/>
        <v>205</v>
      </c>
      <c r="Q5" s="3">
        <f>SUM(P$4:P5)</f>
        <v>396</v>
      </c>
      <c r="R5" s="6">
        <f t="shared" si="3"/>
        <v>3.8500000000567525</v>
      </c>
      <c r="S5" s="5">
        <f t="shared" si="10"/>
        <v>-0.20999999997002305</v>
      </c>
      <c r="T5" s="2">
        <v>10000.038500000001</v>
      </c>
      <c r="U5" s="4">
        <f>1*10000/1000000</f>
        <v>0.01</v>
      </c>
      <c r="V5" s="18">
        <f t="shared" ca="1" si="4"/>
        <v>10000.040911116745</v>
      </c>
      <c r="W5" s="18">
        <f t="shared" ca="1" si="5"/>
        <v>10000.036688146016</v>
      </c>
      <c r="X5" s="18">
        <f t="shared" ca="1" si="6"/>
        <v>10000.045134087473</v>
      </c>
    </row>
    <row r="6" spans="1:24" ht="12" customHeight="1" x14ac:dyDescent="0.35">
      <c r="A6" s="7">
        <v>41592</v>
      </c>
      <c r="B6" s="3">
        <f t="shared" si="7"/>
        <v>197</v>
      </c>
      <c r="C6" s="3">
        <f>SUM(B$4:B6)</f>
        <v>611</v>
      </c>
      <c r="D6" s="6">
        <f t="shared" si="0"/>
        <v>-0.3800000000410364</v>
      </c>
      <c r="E6" s="5">
        <f t="shared" si="8"/>
        <v>9.999999929277692E-3</v>
      </c>
      <c r="F6" s="2">
        <v>9999.9961999999996</v>
      </c>
      <c r="G6" s="4">
        <v>6.6E-3</v>
      </c>
      <c r="H6" s="18">
        <f t="shared" ca="1" si="1"/>
        <v>9999.9957457539585</v>
      </c>
      <c r="I6" s="18" cm="1">
        <f t="array" aca="1" ref="I6" ca="1">$H6-ABS(_xlfn.T.INV(0.025,df_PN010009))*(Syx_PN010009*SQRT(1+1/n_PN010009+($C6-XBar_PN010009)^2/SSx_PN010009))</f>
        <v>9999.992608370294</v>
      </c>
      <c r="J6" s="18">
        <f t="shared" ca="1" si="2"/>
        <v>9999.9988831376231</v>
      </c>
      <c r="K6" s="9"/>
      <c r="L6" s="17" t="s">
        <v>18</v>
      </c>
      <c r="M6" s="11">
        <f ca="1">DEVSQ(Known_xs_PN010009)</f>
        <v>44840894.666666664</v>
      </c>
      <c r="N6" s="9"/>
      <c r="O6" s="7">
        <v>41738</v>
      </c>
      <c r="P6" s="3">
        <f t="shared" si="9"/>
        <v>215</v>
      </c>
      <c r="Q6" s="3">
        <f>SUM(P$4:P6)</f>
        <v>611</v>
      </c>
      <c r="R6" s="6">
        <f t="shared" si="3"/>
        <v>4.0999999999257852</v>
      </c>
      <c r="S6" s="5">
        <f t="shared" si="10"/>
        <v>0.24999999986903276</v>
      </c>
      <c r="T6" s="2">
        <v>10000.040999999999</v>
      </c>
      <c r="U6" s="4">
        <v>6.0000000000000001E-3</v>
      </c>
      <c r="V6" s="18">
        <f t="shared" ca="1" si="4"/>
        <v>10000.041164986176</v>
      </c>
      <c r="W6" s="18">
        <f t="shared" ca="1" si="5"/>
        <v>10000.036975864743</v>
      </c>
      <c r="X6" s="18">
        <f t="shared" ca="1" si="6"/>
        <v>10000.045354107609</v>
      </c>
    </row>
    <row r="7" spans="1:24" ht="12" customHeight="1" x14ac:dyDescent="0.35">
      <c r="A7" s="7">
        <v>41820</v>
      </c>
      <c r="B7" s="3">
        <f t="shared" si="7"/>
        <v>228</v>
      </c>
      <c r="C7" s="3">
        <f>SUM(B$4:B7)</f>
        <v>839</v>
      </c>
      <c r="D7" s="6">
        <f t="shared" si="0"/>
        <v>-0.43000000005122274</v>
      </c>
      <c r="E7" s="5">
        <f t="shared" si="8"/>
        <v>-5.0000000010186341E-2</v>
      </c>
      <c r="F7" s="2">
        <v>9999.9956999999995</v>
      </c>
      <c r="G7" s="4">
        <v>6.6E-3</v>
      </c>
      <c r="H7" s="18">
        <f t="shared" ca="1" si="1"/>
        <v>9999.9957897069125</v>
      </c>
      <c r="I7" s="18" cm="1">
        <f t="array" aca="1" ref="I7" ca="1">$H7-ABS(_xlfn.T.INV(0.025,df_PN010009))*(Syx_PN010009*SQRT(1+1/n_PN010009+($C7-XBar_PN010009)^2/SSx_PN010009))</f>
        <v>9999.9926750842242</v>
      </c>
      <c r="J7" s="18">
        <f t="shared" ca="1" si="2"/>
        <v>9999.9989043296009</v>
      </c>
      <c r="K7" s="9"/>
      <c r="L7" s="9"/>
      <c r="M7" s="9"/>
      <c r="N7" s="9"/>
      <c r="O7" s="7">
        <v>41946</v>
      </c>
      <c r="P7" s="3">
        <f t="shared" si="9"/>
        <v>208</v>
      </c>
      <c r="Q7" s="3">
        <f>SUM(P$4:P7)</f>
        <v>819</v>
      </c>
      <c r="R7" s="6">
        <f t="shared" si="3"/>
        <v>4.1999999999461579</v>
      </c>
      <c r="S7" s="5">
        <f t="shared" si="10"/>
        <v>0.10000000002037268</v>
      </c>
      <c r="T7" s="2">
        <v>10000.041999999999</v>
      </c>
      <c r="U7" s="4">
        <v>4.5999999999999999E-3</v>
      </c>
      <c r="V7" s="18">
        <f t="shared" ca="1" si="4"/>
        <v>10000.041410590089</v>
      </c>
      <c r="W7" s="18">
        <f t="shared" ca="1" si="5"/>
        <v>10000.037250701869</v>
      </c>
      <c r="X7" s="18">
        <f t="shared" ca="1" si="6"/>
        <v>10000.045570478309</v>
      </c>
    </row>
    <row r="8" spans="1:24" ht="12" customHeight="1" x14ac:dyDescent="0.35">
      <c r="A8" s="7">
        <v>42009</v>
      </c>
      <c r="B8" s="3">
        <f t="shared" si="7"/>
        <v>189</v>
      </c>
      <c r="C8" s="3">
        <f>SUM(B$4:B8)</f>
        <v>1028</v>
      </c>
      <c r="D8" s="6">
        <f t="shared" si="0"/>
        <v>-0.41000000001076842</v>
      </c>
      <c r="E8" s="5">
        <f t="shared" si="8"/>
        <v>2.0000000040454324E-2</v>
      </c>
      <c r="F8" s="2">
        <v>9999.9958999999999</v>
      </c>
      <c r="G8" s="4">
        <v>4.5999999999999999E-3</v>
      </c>
      <c r="H8" s="18">
        <f t="shared" ca="1" si="1"/>
        <v>9999.9958261415977</v>
      </c>
      <c r="I8" s="18" cm="1">
        <f t="array" aca="1" ref="I8" ca="1">$H8-ABS(_xlfn.T.INV(0.025,df_PN010009))*(Syx_PN010009*SQRT(1+1/n_PN010009+($C8-XBar_PN010009)^2/SSx_PN010009))</f>
        <v>9999.992728000725</v>
      </c>
      <c r="J8" s="18">
        <f t="shared" ca="1" si="2"/>
        <v>9999.9989242824704</v>
      </c>
      <c r="K8" s="9"/>
      <c r="L8" s="19" t="s">
        <v>19</v>
      </c>
      <c r="M8" s="19"/>
      <c r="N8" s="9"/>
      <c r="O8" s="7">
        <v>42163</v>
      </c>
      <c r="P8" s="3">
        <f t="shared" si="9"/>
        <v>217</v>
      </c>
      <c r="Q8" s="3">
        <f>SUM(P$4:P8)</f>
        <v>1036</v>
      </c>
      <c r="R8" s="6">
        <f t="shared" si="3"/>
        <v>4.0000000000873115</v>
      </c>
      <c r="S8" s="5">
        <f t="shared" si="10"/>
        <v>-0.19999999985884642</v>
      </c>
      <c r="T8" s="2">
        <v>10000.040000000001</v>
      </c>
      <c r="U8" s="4">
        <v>4.5999999999999999E-3</v>
      </c>
      <c r="V8" s="18">
        <f t="shared" ca="1" si="4"/>
        <v>10000.041666821096</v>
      </c>
      <c r="W8" s="18">
        <f t="shared" ca="1" si="5"/>
        <v>10000.037533667459</v>
      </c>
      <c r="X8" s="18">
        <f t="shared" ca="1" si="6"/>
        <v>10000.045799974734</v>
      </c>
    </row>
    <row r="9" spans="1:24" ht="12" customHeight="1" x14ac:dyDescent="0.35">
      <c r="A9" s="7">
        <v>42221</v>
      </c>
      <c r="B9" s="3">
        <f t="shared" si="7"/>
        <v>212</v>
      </c>
      <c r="C9" s="3">
        <f>SUM(B$4:B9)</f>
        <v>1240</v>
      </c>
      <c r="D9" s="6">
        <f t="shared" si="0"/>
        <v>-0.66000000006170012</v>
      </c>
      <c r="E9" s="5">
        <f t="shared" si="8"/>
        <v>-0.2500000000509317</v>
      </c>
      <c r="F9" s="2">
        <v>9999.9933999999994</v>
      </c>
      <c r="G9" s="4">
        <v>4.5999999999999999E-3</v>
      </c>
      <c r="H9" s="18">
        <f t="shared" ca="1" si="1"/>
        <v>9999.9958670101332</v>
      </c>
      <c r="I9" s="18" cm="1">
        <f t="array" aca="1" ref="I9" ca="1">$H9-ABS(_xlfn.T.INV(0.025,df_PN010009))*(Syx_PN010009*SQRT(1+1/n_PN010009+($C9-XBar_PN010009)^2/SSx_PN010009))</f>
        <v>9999.9927847373838</v>
      </c>
      <c r="J9" s="18">
        <f t="shared" ca="1" si="2"/>
        <v>9999.9989492828827</v>
      </c>
      <c r="K9" s="9"/>
      <c r="L9" s="17" t="s">
        <v>14</v>
      </c>
      <c r="M9" s="11">
        <f ca="1">COUNT(Known_ys_PN010008)</f>
        <v>23</v>
      </c>
      <c r="N9" s="9"/>
      <c r="O9" s="7">
        <v>42381</v>
      </c>
      <c r="P9" s="3">
        <f t="shared" si="9"/>
        <v>218</v>
      </c>
      <c r="Q9" s="3">
        <f>SUM(P$4:P9)</f>
        <v>1254</v>
      </c>
      <c r="R9" s="6">
        <f t="shared" si="3"/>
        <v>4.1999999999461579</v>
      </c>
      <c r="S9" s="5">
        <f t="shared" si="10"/>
        <v>0.19999999985884642</v>
      </c>
      <c r="T9" s="2">
        <v>10000.041999999999</v>
      </c>
      <c r="U9" s="4">
        <v>4.5999999999999999E-3</v>
      </c>
      <c r="V9" s="18">
        <f t="shared" ca="1" si="4"/>
        <v>10000.04192423289</v>
      </c>
      <c r="W9" s="18">
        <f t="shared" ca="1" si="5"/>
        <v>10000.037813992734</v>
      </c>
      <c r="X9" s="18">
        <f t="shared" ca="1" si="6"/>
        <v>10000.046034473045</v>
      </c>
    </row>
    <row r="10" spans="1:24" ht="12" customHeight="1" x14ac:dyDescent="0.35">
      <c r="A10" s="7">
        <v>42451</v>
      </c>
      <c r="B10" s="3">
        <f t="shared" si="7"/>
        <v>230</v>
      </c>
      <c r="C10" s="3">
        <f>SUM(B$4:B10)</f>
        <v>1470</v>
      </c>
      <c r="D10" s="6">
        <f t="shared" si="0"/>
        <v>-0.56999999997060513</v>
      </c>
      <c r="E10" s="5">
        <f t="shared" si="8"/>
        <v>9.0000000091094989E-2</v>
      </c>
      <c r="F10" s="2">
        <v>9999.9943000000003</v>
      </c>
      <c r="G10" s="4">
        <v>4.5999999999999999E-3</v>
      </c>
      <c r="H10" s="18">
        <f t="shared" ca="1" si="1"/>
        <v>9999.9959113486384</v>
      </c>
      <c r="I10" s="18" cm="1">
        <f t="array" aca="1" ref="I10" ca="1">$H10-ABS(_xlfn.T.INV(0.025,df_PN010009))*(Syx_PN010009*SQRT(1+1/n_PN010009+($C10-XBar_PN010009)^2/SSx_PN010009))</f>
        <v>9999.9928431111148</v>
      </c>
      <c r="J10" s="18">
        <f t="shared" ca="1" si="2"/>
        <v>9999.998979586162</v>
      </c>
      <c r="K10" s="9"/>
      <c r="L10" s="17" t="s">
        <v>15</v>
      </c>
      <c r="M10" s="11">
        <f ca="1">n_PN010008-2</f>
        <v>21</v>
      </c>
      <c r="N10" s="9"/>
      <c r="O10" s="7">
        <v>42676</v>
      </c>
      <c r="P10" s="3">
        <f t="shared" si="9"/>
        <v>295</v>
      </c>
      <c r="Q10" s="3">
        <f>SUM(P$4:P10)</f>
        <v>1549</v>
      </c>
      <c r="R10" s="6">
        <f t="shared" si="3"/>
        <v>4.0000000000873115</v>
      </c>
      <c r="S10" s="5">
        <f t="shared" si="10"/>
        <v>-0.19999999985884642</v>
      </c>
      <c r="T10" s="2">
        <v>10000.040000000001</v>
      </c>
      <c r="U10" s="4">
        <v>4.5999999999999999E-3</v>
      </c>
      <c r="V10" s="18">
        <f t="shared" ca="1" si="4"/>
        <v>10000.042272565364</v>
      </c>
      <c r="W10" s="18">
        <f t="shared" ca="1" si="5"/>
        <v>10000.038186921065</v>
      </c>
      <c r="X10" s="18">
        <f t="shared" ca="1" si="6"/>
        <v>10000.046358209664</v>
      </c>
    </row>
    <row r="11" spans="1:24" ht="12" customHeight="1" x14ac:dyDescent="0.35">
      <c r="A11" s="7">
        <v>42864</v>
      </c>
      <c r="B11" s="3">
        <f t="shared" si="7"/>
        <v>413</v>
      </c>
      <c r="C11" s="3">
        <f>SUM(B$4:B11)</f>
        <v>1883</v>
      </c>
      <c r="D11" s="6">
        <f t="shared" si="0"/>
        <v>-0.41000000001076842</v>
      </c>
      <c r="E11" s="5">
        <f t="shared" si="8"/>
        <v>0.15999999995983671</v>
      </c>
      <c r="F11" s="2">
        <v>9999.9958999999999</v>
      </c>
      <c r="G11" s="4">
        <v>2E-3</v>
      </c>
      <c r="H11" s="18">
        <f t="shared" ca="1" si="1"/>
        <v>9999.9959909651734</v>
      </c>
      <c r="I11" s="18" cm="1">
        <f t="array" aca="1" ref="I11" ca="1">$H11-ABS(_xlfn.T.INV(0.025,df_PN010009))*(Syx_PN010009*SQRT(1+1/n_PN010009+($C11-XBar_PN010009)^2/SSx_PN010009))</f>
        <v>9999.9929394879255</v>
      </c>
      <c r="J11" s="18">
        <f t="shared" ca="1" si="2"/>
        <v>9999.9990424424213</v>
      </c>
      <c r="K11" s="9"/>
      <c r="L11" s="17" t="s">
        <v>16</v>
      </c>
      <c r="M11" s="11">
        <f ca="1">AVERAGE(Known_xs_PN010008)</f>
        <v>2358.7391304347825</v>
      </c>
      <c r="N11" s="9"/>
      <c r="O11" s="7">
        <v>43192</v>
      </c>
      <c r="P11" s="3">
        <f t="shared" si="9"/>
        <v>516</v>
      </c>
      <c r="Q11" s="3">
        <f>SUM(P$4:P11)</f>
        <v>2065</v>
      </c>
      <c r="R11" s="6">
        <f t="shared" si="3"/>
        <v>4.500000000007276</v>
      </c>
      <c r="S11" s="5">
        <f t="shared" si="10"/>
        <v>0.49999999991996447</v>
      </c>
      <c r="T11" s="2">
        <v>10000.045</v>
      </c>
      <c r="U11" s="4">
        <v>4.5999999999999999E-3</v>
      </c>
      <c r="V11" s="18">
        <f t="shared" ca="1" si="4"/>
        <v>10000.042881851996</v>
      </c>
      <c r="W11" s="18">
        <f t="shared" ca="1" si="5"/>
        <v>10000.038821155724</v>
      </c>
      <c r="X11" s="18">
        <f t="shared" ca="1" si="6"/>
        <v>10000.046942548268</v>
      </c>
    </row>
    <row r="12" spans="1:24" ht="12" customHeight="1" x14ac:dyDescent="0.35">
      <c r="A12" s="7">
        <v>43096</v>
      </c>
      <c r="B12" s="3">
        <f t="shared" si="7"/>
        <v>232</v>
      </c>
      <c r="C12" s="3">
        <f>SUM(B$4:B12)</f>
        <v>2115</v>
      </c>
      <c r="D12" s="6">
        <f t="shared" si="0"/>
        <v>-0.17000000007101335</v>
      </c>
      <c r="E12" s="5">
        <f t="shared" si="8"/>
        <v>0.23999999993975507</v>
      </c>
      <c r="F12" s="2">
        <v>9999.9982999999993</v>
      </c>
      <c r="G12" s="4">
        <v>2E-3</v>
      </c>
      <c r="H12" s="18">
        <f t="shared" ca="1" si="1"/>
        <v>9999.9960356892316</v>
      </c>
      <c r="I12" s="18" cm="1">
        <f t="array" aca="1" ref="I12" ca="1">$H12-ABS(_xlfn.T.INV(0.025,df_PN010009))*(Syx_PN010009*SQRT(1+1/n_PN010009+($C12-XBar_PN010009)^2/SSx_PN010009))</f>
        <v>9999.9929888145125</v>
      </c>
      <c r="J12" s="18">
        <f t="shared" ca="1" si="2"/>
        <v>9999.9990825639507</v>
      </c>
      <c r="K12" s="9"/>
      <c r="L12" s="17" t="s">
        <v>17</v>
      </c>
      <c r="M12" s="11">
        <f ca="1">STEYX(Known_ys_PN010008,Known_xs_PN010008)</f>
        <v>1.9097220300416553E-3</v>
      </c>
      <c r="N12" s="9"/>
      <c r="O12" s="7">
        <v>43391</v>
      </c>
      <c r="P12" s="3">
        <f t="shared" si="9"/>
        <v>199</v>
      </c>
      <c r="Q12" s="3">
        <f>SUM(P$4:P12)</f>
        <v>2264</v>
      </c>
      <c r="R12" s="6">
        <f t="shared" si="3"/>
        <v>4.3999999999869033</v>
      </c>
      <c r="S12" s="5">
        <f t="shared" si="10"/>
        <v>-0.10000000002037268</v>
      </c>
      <c r="T12" s="2">
        <v>10000.044</v>
      </c>
      <c r="U12" s="4">
        <v>4.5999999999999999E-3</v>
      </c>
      <c r="V12" s="18">
        <f t="shared" ca="1" si="4"/>
        <v>10000.043116828818</v>
      </c>
      <c r="W12" s="18">
        <f t="shared" ca="1" si="5"/>
        <v>10000.039059531588</v>
      </c>
      <c r="X12" s="18">
        <f t="shared" ca="1" si="6"/>
        <v>10000.047174126048</v>
      </c>
    </row>
    <row r="13" spans="1:24" ht="12" customHeight="1" x14ac:dyDescent="0.35">
      <c r="A13" s="7">
        <v>43292</v>
      </c>
      <c r="B13" s="3">
        <f t="shared" si="7"/>
        <v>196</v>
      </c>
      <c r="C13" s="3">
        <f>SUM(B$4:B13)</f>
        <v>2311</v>
      </c>
      <c r="D13" s="6">
        <f t="shared" si="0"/>
        <v>-0.30000000006111804</v>
      </c>
      <c r="E13" s="5">
        <f t="shared" si="8"/>
        <v>-0.1299999999901047</v>
      </c>
      <c r="F13" s="2">
        <v>9999.9969999999994</v>
      </c>
      <c r="G13" s="4">
        <v>4.4000000000000003E-3</v>
      </c>
      <c r="H13" s="18">
        <f t="shared" ca="1" si="1"/>
        <v>9999.9960734733486</v>
      </c>
      <c r="I13" s="18" cm="1">
        <f t="array" aca="1" ref="I13" ca="1">$H13-ABS(_xlfn.T.INV(0.025,df_PN010009))*(Syx_PN010009*SQRT(1+1/n_PN010009+($C13-XBar_PN010009)^2/SSx_PN010009))</f>
        <v>9999.9930277717449</v>
      </c>
      <c r="J13" s="18">
        <f t="shared" ca="1" si="2"/>
        <v>9999.9991191749523</v>
      </c>
      <c r="K13" s="9"/>
      <c r="L13" s="17" t="s">
        <v>18</v>
      </c>
      <c r="M13" s="11">
        <f ca="1">DEVSQ(Known_xs_PN010008)</f>
        <v>44189634.434782609</v>
      </c>
      <c r="N13" s="9"/>
      <c r="O13" s="7">
        <v>43569</v>
      </c>
      <c r="P13" s="3">
        <f t="shared" si="9"/>
        <v>178</v>
      </c>
      <c r="Q13" s="3">
        <f>SUM(P$4:P13)</f>
        <v>2442</v>
      </c>
      <c r="R13" s="6">
        <f t="shared" si="3"/>
        <v>4.5109999999112915</v>
      </c>
      <c r="S13" s="5">
        <f t="shared" si="10"/>
        <v>0.11099999992438825</v>
      </c>
      <c r="T13" s="2">
        <v>10000.045109999999</v>
      </c>
      <c r="U13" s="4">
        <v>5.3E-3</v>
      </c>
      <c r="V13" s="18">
        <f t="shared" ca="1" si="4"/>
        <v>10000.043327009091</v>
      </c>
      <c r="W13" s="18">
        <f t="shared" ca="1" si="5"/>
        <v>10000.039269801731</v>
      </c>
      <c r="X13" s="18">
        <f t="shared" ca="1" si="6"/>
        <v>10000.04738421645</v>
      </c>
    </row>
    <row r="14" spans="1:24" ht="12" customHeight="1" x14ac:dyDescent="0.35">
      <c r="A14" s="7">
        <v>43516</v>
      </c>
      <c r="B14" s="3">
        <f t="shared" si="7"/>
        <v>224</v>
      </c>
      <c r="C14" s="3">
        <f>SUM(B$4:B14)</f>
        <v>2535</v>
      </c>
      <c r="D14" s="6">
        <f t="shared" si="0"/>
        <v>-0.15399999992951052</v>
      </c>
      <c r="E14" s="5">
        <f t="shared" si="8"/>
        <v>0.14600000013160752</v>
      </c>
      <c r="F14" s="2">
        <v>9999.9984600000007</v>
      </c>
      <c r="G14" s="4">
        <v>5.3E-3</v>
      </c>
      <c r="H14" s="18">
        <f t="shared" ca="1" si="1"/>
        <v>9999.9961166551984</v>
      </c>
      <c r="I14" s="18" cm="1">
        <f t="array" aca="1" ref="I14" ca="1">$H14-ABS(_xlfn.T.INV(0.025,df_PN010009))*(Syx_PN010009*SQRT(1+1/n_PN010009+($C14-XBar_PN010009)^2/SSx_PN010009))</f>
        <v>9999.9930692451962</v>
      </c>
      <c r="J14" s="18">
        <f t="shared" ca="1" si="2"/>
        <v>9999.9991640652006</v>
      </c>
      <c r="K14" s="9"/>
      <c r="L14" s="10"/>
      <c r="M14" s="10"/>
      <c r="N14" s="9"/>
      <c r="O14" s="7">
        <v>43712</v>
      </c>
      <c r="P14" s="3">
        <f t="shared" si="9"/>
        <v>143</v>
      </c>
      <c r="Q14" s="3">
        <f>SUM(P$4:P14)</f>
        <v>2585</v>
      </c>
      <c r="R14" s="6">
        <f t="shared" si="3"/>
        <v>4.5889999999417341</v>
      </c>
      <c r="S14" s="5">
        <f t="shared" si="10"/>
        <v>7.8000000030442607E-2</v>
      </c>
      <c r="T14" s="2">
        <v>10000.045889999999</v>
      </c>
      <c r="U14" s="4">
        <v>5.3E-3</v>
      </c>
      <c r="V14" s="18">
        <f t="shared" ca="1" si="4"/>
        <v>10000.043495861781</v>
      </c>
      <c r="W14" s="18">
        <f t="shared" ca="1" si="5"/>
        <v>10000.039436707935</v>
      </c>
      <c r="X14" s="18">
        <f t="shared" ca="1" si="6"/>
        <v>10000.047555015626</v>
      </c>
    </row>
    <row r="15" spans="1:24" ht="12" customHeight="1" x14ac:dyDescent="0.35">
      <c r="A15" s="7">
        <v>43686</v>
      </c>
      <c r="B15" s="3">
        <f t="shared" si="7"/>
        <v>170</v>
      </c>
      <c r="C15" s="3">
        <f>SUM(B$4:B15)</f>
        <v>2705</v>
      </c>
      <c r="D15" s="6">
        <f t="shared" si="0"/>
        <v>-0.31099999996513361</v>
      </c>
      <c r="E15" s="5">
        <f t="shared" si="8"/>
        <v>-0.15700000003562309</v>
      </c>
      <c r="F15" s="2">
        <v>9999.9968900000003</v>
      </c>
      <c r="G15" s="4">
        <v>5.3E-3</v>
      </c>
      <c r="H15" s="18">
        <f t="shared" ca="1" si="1"/>
        <v>9999.9961494271374</v>
      </c>
      <c r="I15" s="18" cm="1">
        <f t="array" aca="1" ref="I15" ca="1">$H15-ABS(_xlfn.T.INV(0.025,df_PN010009))*(Syx_PN010009*SQRT(1+1/n_PN010009+($C15-XBar_PN010009)^2/SSx_PN010009))</f>
        <v>9999.9930985528099</v>
      </c>
      <c r="J15" s="18">
        <f t="shared" ca="1" si="2"/>
        <v>9999.999200301465</v>
      </c>
      <c r="K15" s="1"/>
      <c r="L15" s="8"/>
      <c r="M15" s="8"/>
      <c r="N15" s="1"/>
      <c r="O15" s="7">
        <v>43744</v>
      </c>
      <c r="P15" s="3">
        <f t="shared" si="9"/>
        <v>32</v>
      </c>
      <c r="Q15" s="3">
        <f>SUM(P$4:P15)</f>
        <v>2617</v>
      </c>
      <c r="R15" s="6">
        <f t="shared" si="3"/>
        <v>4.5770000000629807</v>
      </c>
      <c r="S15" s="5">
        <f t="shared" si="10"/>
        <v>-1.1999999878753442E-2</v>
      </c>
      <c r="T15" s="2">
        <v>10000.045770000001</v>
      </c>
      <c r="U15" s="4">
        <v>5.3E-3</v>
      </c>
      <c r="V15" s="18">
        <f t="shared" ca="1" si="4"/>
        <v>10000.043533646998</v>
      </c>
      <c r="W15" s="18">
        <f t="shared" ca="1" si="5"/>
        <v>10000.039473811526</v>
      </c>
      <c r="X15" s="18">
        <f t="shared" ca="1" si="6"/>
        <v>10000.04759348247</v>
      </c>
    </row>
    <row r="16" spans="1:24" ht="12" customHeight="1" x14ac:dyDescent="0.35">
      <c r="A16" s="7">
        <v>43832</v>
      </c>
      <c r="B16" s="3">
        <f t="shared" si="7"/>
        <v>146</v>
      </c>
      <c r="C16" s="3">
        <f>SUM(B$4:B16)</f>
        <v>2851</v>
      </c>
      <c r="D16" s="6">
        <f t="shared" si="0"/>
        <v>-0.16899999991437653</v>
      </c>
      <c r="E16" s="5">
        <f t="shared" si="8"/>
        <v>0.14200000005075708</v>
      </c>
      <c r="F16" s="2">
        <v>9999.9983100000009</v>
      </c>
      <c r="G16" s="4">
        <v>5.3E-3</v>
      </c>
      <c r="H16" s="18">
        <f t="shared" ca="1" si="1"/>
        <v>9999.9961775724496</v>
      </c>
      <c r="I16" s="18" cm="1">
        <f t="array" aca="1" ref="I16" ca="1">$H16-ABS(_xlfn.T.INV(0.025,df_PN010009))*(Syx_PN010009*SQRT(1+1/n_PN010009+($C16-XBar_PN010009)^2/SSx_PN010009))</f>
        <v>9999.9931222347532</v>
      </c>
      <c r="J16" s="18">
        <f t="shared" ca="1" si="2"/>
        <v>9999.999232910146</v>
      </c>
      <c r="O16" s="7">
        <v>43754</v>
      </c>
      <c r="P16" s="3">
        <f t="shared" si="9"/>
        <v>10</v>
      </c>
      <c r="Q16" s="3">
        <f>SUM(P$4:P16)</f>
        <v>2627</v>
      </c>
      <c r="R16" s="6">
        <f t="shared" si="3"/>
        <v>4.6210000000428408</v>
      </c>
      <c r="S16" s="5">
        <f t="shared" si="10"/>
        <v>4.3999999979860149E-2</v>
      </c>
      <c r="T16" s="2">
        <v>10000.04621</v>
      </c>
      <c r="U16" s="4">
        <v>5.3E-3</v>
      </c>
      <c r="V16" s="18">
        <f t="shared" ca="1" si="4"/>
        <v>10000.043545454879</v>
      </c>
      <c r="W16" s="18">
        <f t="shared" ca="1" si="5"/>
        <v>10000.039485387961</v>
      </c>
      <c r="X16" s="18">
        <f t="shared" ca="1" si="6"/>
        <v>10000.047605521797</v>
      </c>
    </row>
    <row r="17" spans="1:24" ht="12" customHeight="1" x14ac:dyDescent="0.35">
      <c r="A17" s="7">
        <v>44323</v>
      </c>
      <c r="B17" s="3">
        <f t="shared" si="7"/>
        <v>491</v>
      </c>
      <c r="C17" s="3">
        <f>SUM(B$4:B17)</f>
        <v>3342</v>
      </c>
      <c r="D17" s="6">
        <f t="shared" si="0"/>
        <v>-0.17499999994470272</v>
      </c>
      <c r="E17" s="5">
        <f t="shared" si="8"/>
        <v>-6.0000000303261913E-3</v>
      </c>
      <c r="F17" s="2">
        <v>9999.9982500000006</v>
      </c>
      <c r="G17" s="4">
        <v>5.3E-3</v>
      </c>
      <c r="H17" s="18">
        <f t="shared" ca="1" si="1"/>
        <v>9999.9962722255204</v>
      </c>
      <c r="I17" s="18" cm="1">
        <f t="array" aca="1" ref="I17" ca="1">$H17-ABS(_xlfn.T.INV(0.025,df_PN010009))*(Syx_PN010009*SQRT(1+1/n_PN010009+($C17-XBar_PN010009)^2/SSx_PN010009))</f>
        <v>9999.99319188359</v>
      </c>
      <c r="J17" s="18">
        <f t="shared" ca="1" si="2"/>
        <v>9999.9993525674508</v>
      </c>
      <c r="O17" s="7">
        <v>43973</v>
      </c>
      <c r="P17" s="3">
        <f t="shared" si="9"/>
        <v>219</v>
      </c>
      <c r="Q17" s="3">
        <f>SUM(P$4:P17)</f>
        <v>2846</v>
      </c>
      <c r="R17" s="6">
        <f t="shared" si="3"/>
        <v>4.5829999999114079</v>
      </c>
      <c r="S17" s="5">
        <f t="shared" si="10"/>
        <v>-3.8000000131432898E-2</v>
      </c>
      <c r="T17" s="2">
        <v>10000.045829999999</v>
      </c>
      <c r="U17" s="4">
        <v>5.3E-3</v>
      </c>
      <c r="V17" s="18">
        <f t="shared" ca="1" si="4"/>
        <v>10000.043804047462</v>
      </c>
      <c r="W17" s="18">
        <f t="shared" ca="1" si="5"/>
        <v>10000.039736714052</v>
      </c>
      <c r="X17" s="18">
        <f t="shared" ca="1" si="6"/>
        <v>10000.047871380872</v>
      </c>
    </row>
    <row r="18" spans="1:24" ht="12" customHeight="1" x14ac:dyDescent="0.35">
      <c r="A18" s="7">
        <v>44550</v>
      </c>
      <c r="B18" s="3">
        <f t="shared" si="7"/>
        <v>227</v>
      </c>
      <c r="C18" s="3">
        <f>SUM(B$4:B18)</f>
        <v>3569</v>
      </c>
      <c r="D18" s="6">
        <f t="shared" si="0"/>
        <v>-0.40000000008149073</v>
      </c>
      <c r="E18" s="5">
        <f t="shared" si="8"/>
        <v>-0.225000000136788</v>
      </c>
      <c r="F18" s="2">
        <v>9999.9959999999992</v>
      </c>
      <c r="G18" s="4">
        <v>5.3E-3</v>
      </c>
      <c r="H18" s="18">
        <f t="shared" ca="1" si="1"/>
        <v>9999.9963159856979</v>
      </c>
      <c r="I18" s="18" cm="1">
        <f t="array" aca="1" ref="I18" ca="1">$H18-ABS(_xlfn.T.INV(0.025,df_PN010009))*(Syx_PN010009*SQRT(1+1/n_PN010009+($C18-XBar_PN010009)^2/SSx_PN010009))</f>
        <v>9999.9932189517313</v>
      </c>
      <c r="J18" s="18">
        <f t="shared" ca="1" si="2"/>
        <v>9999.9994130196646</v>
      </c>
      <c r="O18" s="7">
        <v>44176</v>
      </c>
      <c r="P18" s="3">
        <f t="shared" si="9"/>
        <v>203</v>
      </c>
      <c r="Q18" s="3">
        <f>SUM(P$4:P18)</f>
        <v>3049</v>
      </c>
      <c r="R18" s="6">
        <f t="shared" si="3"/>
        <v>4.6700000000782893</v>
      </c>
      <c r="S18" s="5">
        <f t="shared" si="10"/>
        <v>8.7000000166881364E-2</v>
      </c>
      <c r="T18" s="2">
        <v>10000.046700000001</v>
      </c>
      <c r="U18" s="4">
        <v>5.3E-3</v>
      </c>
      <c r="V18" s="18">
        <f t="shared" ca="1" si="4"/>
        <v>10000.044043747435</v>
      </c>
      <c r="W18" s="18">
        <f t="shared" ca="1" si="5"/>
        <v>10000.039965939084</v>
      </c>
      <c r="X18" s="18">
        <f t="shared" ca="1" si="6"/>
        <v>10000.048121555787</v>
      </c>
    </row>
    <row r="19" spans="1:24" ht="12" customHeight="1" x14ac:dyDescent="0.35">
      <c r="A19" s="7">
        <v>44767</v>
      </c>
      <c r="B19" s="3">
        <f t="shared" si="7"/>
        <v>217</v>
      </c>
      <c r="C19" s="3">
        <f>SUM(B$4:B19)</f>
        <v>3786</v>
      </c>
      <c r="D19" s="6">
        <f t="shared" si="0"/>
        <v>-0.46000000002095476</v>
      </c>
      <c r="E19" s="5">
        <f t="shared" si="8"/>
        <v>-5.9999999939464033E-2</v>
      </c>
      <c r="F19" s="2">
        <v>9999.9953999999998</v>
      </c>
      <c r="G19" s="4">
        <v>5.3E-3</v>
      </c>
      <c r="H19" s="18">
        <f t="shared" ca="1" si="1"/>
        <v>9999.9963578181141</v>
      </c>
      <c r="I19" s="18" cm="1">
        <f t="array" aca="1" ref="I19" ca="1">$H19-ABS(_xlfn.T.INV(0.025,df_PN010009))*(Syx_PN010009*SQRT(1+1/n_PN010009+($C19-XBar_PN010009)^2/SSx_PN010009))</f>
        <v>9999.9932418566877</v>
      </c>
      <c r="J19" s="18">
        <f t="shared" ca="1" si="2"/>
        <v>9999.9994737795405</v>
      </c>
      <c r="O19" s="7">
        <v>44442</v>
      </c>
      <c r="P19" s="3">
        <f t="shared" si="9"/>
        <v>266</v>
      </c>
      <c r="Q19" s="3">
        <f>SUM(P$4:P19)</f>
        <v>3315</v>
      </c>
      <c r="R19" s="6">
        <f t="shared" si="3"/>
        <v>4.3750000000727596</v>
      </c>
      <c r="S19" s="5">
        <f t="shared" si="10"/>
        <v>-0.29500000000552973</v>
      </c>
      <c r="T19" s="2">
        <v>10000.043750000001</v>
      </c>
      <c r="U19" s="4">
        <v>5.3E-3</v>
      </c>
      <c r="V19" s="18">
        <f t="shared" ca="1" si="4"/>
        <v>10000.044357837056</v>
      </c>
      <c r="W19" s="18">
        <f t="shared" ca="1" si="5"/>
        <v>10000.040260905509</v>
      </c>
      <c r="X19" s="18">
        <f t="shared" ca="1" si="6"/>
        <v>10000.048454768603</v>
      </c>
    </row>
    <row r="20" spans="1:24" ht="12" customHeight="1" x14ac:dyDescent="0.35">
      <c r="A20" s="7">
        <v>44968</v>
      </c>
      <c r="B20" s="3">
        <f t="shared" si="7"/>
        <v>201</v>
      </c>
      <c r="C20" s="3">
        <f>SUM(B$4:B20)</f>
        <v>3987</v>
      </c>
      <c r="D20" s="6">
        <f t="shared" si="0"/>
        <v>-0.38999999997031409</v>
      </c>
      <c r="E20" s="5">
        <f t="shared" si="8"/>
        <v>7.0000000050640665E-2</v>
      </c>
      <c r="F20" s="2">
        <v>9999.9961000000003</v>
      </c>
      <c r="G20" s="4">
        <v>5.3E-3</v>
      </c>
      <c r="H20" s="18">
        <f t="shared" ca="1" si="1"/>
        <v>9999.9963965661136</v>
      </c>
      <c r="I20" s="18" cm="1">
        <f t="array" aca="1" ref="I20" ca="1">$H20-ABS(_xlfn.T.INV(0.025,df_PN010009))*(Syx_PN010009*SQRT(1+1/n_PN010009+($C20-XBar_PN010009)^2/SSx_PN010009))</f>
        <v>9999.9932605284848</v>
      </c>
      <c r="J20" s="18">
        <f t="shared" ca="1" si="2"/>
        <v>9999.9995326037424</v>
      </c>
      <c r="O20" s="7">
        <v>44659</v>
      </c>
      <c r="P20" s="3">
        <f t="shared" si="9"/>
        <v>217</v>
      </c>
      <c r="Q20" s="3">
        <f>SUM(P$4:P20)</f>
        <v>3532</v>
      </c>
      <c r="R20" s="6">
        <f t="shared" si="3"/>
        <v>4.2999999999665306</v>
      </c>
      <c r="S20" s="5">
        <f t="shared" si="10"/>
        <v>-7.5000000106228981E-2</v>
      </c>
      <c r="T20" s="2">
        <v>10000.043</v>
      </c>
      <c r="U20" s="4">
        <v>5.3E-3</v>
      </c>
      <c r="V20" s="18">
        <f t="shared" ca="1" si="4"/>
        <v>10000.044614068063</v>
      </c>
      <c r="W20" s="18">
        <f t="shared" ca="1" si="5"/>
        <v>10000.040497055976</v>
      </c>
      <c r="X20" s="18">
        <f t="shared" ca="1" si="6"/>
        <v>10000.048731080151</v>
      </c>
    </row>
    <row r="21" spans="1:24" x14ac:dyDescent="0.35">
      <c r="A21" s="7">
        <v>45208</v>
      </c>
      <c r="B21" s="3">
        <f t="shared" si="7"/>
        <v>240</v>
      </c>
      <c r="C21" s="3">
        <f>SUM(B$4:B21)</f>
        <v>4227</v>
      </c>
      <c r="D21" s="6">
        <f t="shared" si="0"/>
        <v>-0.51999999996041879</v>
      </c>
      <c r="E21" s="5">
        <f t="shared" si="8"/>
        <v>-0.1299999999901047</v>
      </c>
      <c r="F21" s="2">
        <v>9999.9948000000004</v>
      </c>
      <c r="G21" s="4">
        <v>5.3E-3</v>
      </c>
      <c r="H21" s="18">
        <f t="shared" ca="1" si="1"/>
        <v>9999.9964428323801</v>
      </c>
      <c r="I21" s="18" cm="1">
        <f t="array" aca="1" ref="I21" ca="1">$H21-ABS(_xlfn.T.INV(0.025,df_PN010009))*(Syx_PN010009*SQRT(1+1/n_PN010009+($C21-XBar_PN010009)^2/SSx_PN010009))</f>
        <v>9999.9932796848425</v>
      </c>
      <c r="J21" s="18">
        <f t="shared" ca="1" si="2"/>
        <v>9999.9996059799178</v>
      </c>
      <c r="O21" s="7">
        <v>44867</v>
      </c>
      <c r="P21" s="3">
        <f t="shared" ref="P21:P22" si="11">O21-O20</f>
        <v>208</v>
      </c>
      <c r="Q21" s="3">
        <f>SUM(P$4:P21)</f>
        <v>3740</v>
      </c>
      <c r="R21" s="1">
        <f t="shared" si="3"/>
        <v>4.4900000000779983</v>
      </c>
      <c r="S21" s="5">
        <f t="shared" ref="S21:S22" si="12">R21-R20</f>
        <v>0.19000000011146767</v>
      </c>
      <c r="T21" s="2">
        <v>10000.044900000001</v>
      </c>
      <c r="U21" s="4">
        <v>5.3E-3</v>
      </c>
      <c r="V21" s="18">
        <f t="shared" ca="1" si="4"/>
        <v>10000.044859671976</v>
      </c>
      <c r="W21" s="18">
        <f t="shared" ca="1" si="5"/>
        <v>10000.040719691193</v>
      </c>
      <c r="X21" s="18">
        <f t="shared" ca="1" si="6"/>
        <v>10000.048999652759</v>
      </c>
    </row>
    <row r="22" spans="1:24" x14ac:dyDescent="0.35">
      <c r="A22" s="7">
        <v>45524</v>
      </c>
      <c r="B22" s="3">
        <f t="shared" ref="B22" si="13">A22-A21</f>
        <v>316</v>
      </c>
      <c r="C22" s="3">
        <f>SUM(B$4:B22)</f>
        <v>4543</v>
      </c>
      <c r="D22" s="6">
        <f t="shared" ref="D22" si="14">(F22-10000)/10000*1000000</f>
        <v>-0.44999999990977813</v>
      </c>
      <c r="E22" s="5">
        <f t="shared" ref="E22" si="15">D22-D21</f>
        <v>7.0000000050640665E-2</v>
      </c>
      <c r="F22" s="2">
        <v>9999.9955000000009</v>
      </c>
      <c r="G22" s="4">
        <v>5.3E-3</v>
      </c>
      <c r="H22" s="18">
        <f t="shared" ca="1" si="1"/>
        <v>9999.9965037496313</v>
      </c>
      <c r="I22" s="18" cm="1">
        <f t="array" aca="1" ref="I22" ca="1">$H22-ABS(_xlfn.T.INV(0.025,df_PN010009))*(Syx_PN010009*SQRT(1+1/n_PN010009+($C22-XBar_PN010009)^2/SSx_PN010009))</f>
        <v>9999.9932998388504</v>
      </c>
      <c r="J22" s="18">
        <f t="shared" ca="1" si="2"/>
        <v>9999.9997076604122</v>
      </c>
      <c r="O22" s="7">
        <v>45097</v>
      </c>
      <c r="P22" s="3">
        <f t="shared" si="11"/>
        <v>230</v>
      </c>
      <c r="Q22" s="3">
        <f>SUM(P$4:P22)</f>
        <v>3970</v>
      </c>
      <c r="R22" s="1">
        <f t="shared" si="3"/>
        <v>4.4200000000273576</v>
      </c>
      <c r="S22" s="5">
        <f t="shared" si="12"/>
        <v>-7.0000000050640665E-2</v>
      </c>
      <c r="T22" s="2">
        <v>10000.0442</v>
      </c>
      <c r="U22" s="4">
        <v>5.3E-3</v>
      </c>
      <c r="V22" s="18">
        <f t="shared" ca="1" si="4"/>
        <v>10000.045131253228</v>
      </c>
      <c r="W22" s="18">
        <f t="shared" ca="1" si="5"/>
        <v>10000.040961707695</v>
      </c>
      <c r="X22" s="18">
        <f t="shared" ca="1" si="6"/>
        <v>10000.049300798761</v>
      </c>
    </row>
    <row r="23" spans="1:24" x14ac:dyDescent="0.35">
      <c r="A23" s="7">
        <v>45727</v>
      </c>
      <c r="B23" s="3">
        <f t="shared" ref="B23" si="16">A23-A22</f>
        <v>203</v>
      </c>
      <c r="C23" s="3">
        <f>SUM(B$4:B23)</f>
        <v>4746</v>
      </c>
      <c r="D23" s="6">
        <f t="shared" ref="D23" si="17">(F23-10000)/10000*1000000</f>
        <v>-0.44999999990977813</v>
      </c>
      <c r="E23" s="5">
        <f t="shared" ref="E23" si="18">D23-D22</f>
        <v>0</v>
      </c>
      <c r="F23" s="2">
        <v>9999.9955000000009</v>
      </c>
      <c r="G23" s="4">
        <v>5.3E-3</v>
      </c>
      <c r="H23" s="18">
        <f t="shared" ca="1" si="1"/>
        <v>9999.996542883182</v>
      </c>
      <c r="I23" s="18" cm="1">
        <f t="array" aca="1" ref="I23" ca="1">$H23-ABS(_xlfn.T.INV(0.025,df_PN010009))*(Syx_PN010009*SQRT(1+1/n_PN010009+($C23-XBar_PN010009)^2/SSx_PN010009))</f>
        <v>9999.9933098381789</v>
      </c>
      <c r="J23" s="18">
        <f t="shared" ca="1" si="2"/>
        <v>9999.999775928185</v>
      </c>
      <c r="O23" s="7">
        <v>45319</v>
      </c>
      <c r="P23" s="3">
        <f t="shared" ref="P23" si="19">O23-O22</f>
        <v>222</v>
      </c>
      <c r="Q23" s="3">
        <f>SUM(P$4:P23)</f>
        <v>4192</v>
      </c>
      <c r="R23" s="1">
        <f t="shared" ref="R23" si="20">(T23-10000)/10000*1000000</f>
        <v>4.5099999999365536</v>
      </c>
      <c r="S23" s="5">
        <f t="shared" ref="S23" si="21">R23-R22</f>
        <v>8.9999999909196049E-2</v>
      </c>
      <c r="T23" s="2">
        <v>10000.045099999999</v>
      </c>
      <c r="U23" s="4">
        <v>5.3E-3</v>
      </c>
      <c r="V23" s="18">
        <f t="shared" ca="1" si="4"/>
        <v>10000.045393388174</v>
      </c>
      <c r="W23" s="18">
        <f t="shared" ca="1" si="5"/>
        <v>10000.041191239919</v>
      </c>
      <c r="X23" s="18">
        <f t="shared" ca="1" si="6"/>
        <v>10000.049595536429</v>
      </c>
    </row>
    <row r="24" spans="1:24" x14ac:dyDescent="0.35">
      <c r="A24" s="7">
        <v>46008</v>
      </c>
      <c r="B24" s="3">
        <f t="shared" ref="B24" si="22">A24-A23</f>
        <v>281</v>
      </c>
      <c r="C24" s="3">
        <f>SUM(B$4:B24)</f>
        <v>5027</v>
      </c>
      <c r="D24" s="6">
        <f t="shared" ref="D24" si="23">(F24-10000)/10000*1000000</f>
        <v>-0.48999999999068672</v>
      </c>
      <c r="E24" s="5">
        <f t="shared" ref="E24" si="24">D24-D23</f>
        <v>-4.0000000080908593E-2</v>
      </c>
      <c r="F24" s="2">
        <v>9999.9951000000001</v>
      </c>
      <c r="G24" s="4">
        <v>5.3E-3</v>
      </c>
      <c r="H24" s="18">
        <f t="shared" ca="1" si="1"/>
        <v>9999.9965970532703</v>
      </c>
      <c r="I24" s="18" cm="1">
        <f t="array" aca="1" ref="I24" ca="1">$H24-ABS(_xlfn.T.INV(0.025,df_PN010009))*(Syx_PN010009*SQRT(1+1/n_PN010009+($C24-XBar_PN010009)^2/SSx_PN010009))</f>
        <v>9999.9933200073174</v>
      </c>
      <c r="J24" s="18">
        <f t="shared" ca="1" si="2"/>
        <v>9999.9998740992232</v>
      </c>
      <c r="O24" s="7">
        <v>45573</v>
      </c>
      <c r="P24" s="3">
        <f t="shared" ref="P24" si="25">O24-O23</f>
        <v>254</v>
      </c>
      <c r="Q24" s="3">
        <f>SUM(P$4:P24)</f>
        <v>4446</v>
      </c>
      <c r="R24" s="1">
        <f t="shared" ref="R24" si="26">(T24-10000)/10000*1000000</f>
        <v>4.3999999999869033</v>
      </c>
      <c r="S24" s="5">
        <f t="shared" ref="S24" si="27">R24-R23</f>
        <v>-0.10999999994965037</v>
      </c>
      <c r="T24" s="2">
        <v>10000.044</v>
      </c>
      <c r="U24" s="4">
        <v>5.3E-3</v>
      </c>
      <c r="V24" s="18">
        <f t="shared" ca="1" si="4"/>
        <v>10000.045693308339</v>
      </c>
      <c r="W24" s="18">
        <f t="shared" ca="1" si="5"/>
        <v>10000.041449078471</v>
      </c>
      <c r="X24" s="18">
        <f t="shared" ca="1" si="6"/>
        <v>10000.049937538206</v>
      </c>
    </row>
    <row r="25" spans="1:24" x14ac:dyDescent="0.35">
      <c r="B25" s="3"/>
      <c r="O25" s="7">
        <v>45832</v>
      </c>
      <c r="P25" s="3">
        <f t="shared" ref="P25" si="28">O25-O24</f>
        <v>259</v>
      </c>
      <c r="Q25" s="3">
        <f>SUM(P$4:P25)</f>
        <v>4705</v>
      </c>
      <c r="R25" s="1">
        <f t="shared" ref="R25" si="29">(T25-10000)/10000*1000000</f>
        <v>4.2199999999866122</v>
      </c>
      <c r="S25" s="5">
        <f t="shared" ref="S25" si="30">R25-R24</f>
        <v>-0.18000000000029104</v>
      </c>
      <c r="T25" s="2">
        <v>10000.0422</v>
      </c>
      <c r="U25" s="4">
        <v>5.3E-3</v>
      </c>
      <c r="V25" s="18">
        <f t="shared" ca="1" si="4"/>
        <v>10000.045999132442</v>
      </c>
      <c r="W25" s="18">
        <f t="shared" ca="1" si="5"/>
        <v>10000.041706889948</v>
      </c>
      <c r="X25" s="18">
        <f t="shared" ca="1" si="6"/>
        <v>10000.050291374937</v>
      </c>
    </row>
    <row r="26" spans="1:24" x14ac:dyDescent="0.35">
      <c r="B26" s="3"/>
      <c r="O26" s="7">
        <v>46146</v>
      </c>
      <c r="P26" s="3">
        <f t="shared" ref="P26" si="31">O26-O25</f>
        <v>314</v>
      </c>
      <c r="Q26" s="3">
        <f>SUM(P$4:P26)</f>
        <v>5019</v>
      </c>
      <c r="R26" s="1">
        <f t="shared" ref="R26" si="32">(T26-10000)/10000*1000000</f>
        <v>4.3999999999869033</v>
      </c>
      <c r="S26" s="5">
        <f t="shared" ref="S26" si="33">R26-R25</f>
        <v>0.18000000000029104</v>
      </c>
      <c r="T26" s="2">
        <v>10000.044</v>
      </c>
      <c r="U26" s="4">
        <v>5.3E-3</v>
      </c>
      <c r="V26" s="18">
        <f t="shared" ca="1" si="4"/>
        <v>10000.04636989989</v>
      </c>
      <c r="W26" s="18">
        <f t="shared" ca="1" si="5"/>
        <v>10000.042012783919</v>
      </c>
      <c r="X26" s="18">
        <f t="shared" ca="1" si="6"/>
        <v>10000.050727015861</v>
      </c>
    </row>
    <row r="27" spans="1:24" x14ac:dyDescent="0.35">
      <c r="B27" s="3"/>
    </row>
    <row r="29" spans="1:24" x14ac:dyDescent="0.35">
      <c r="K29" s="1"/>
      <c r="L29" s="1"/>
      <c r="M29" s="1"/>
    </row>
    <row r="1048575" spans="20:20" x14ac:dyDescent="0.35">
      <c r="T1048575" s="2"/>
    </row>
  </sheetData>
  <mergeCells count="4">
    <mergeCell ref="L1:M1"/>
    <mergeCell ref="L8:M8"/>
    <mergeCell ref="H1:J1"/>
    <mergeCell ref="V1:X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235E799D978469D5A3DE19AC51D2D" ma:contentTypeVersion="10" ma:contentTypeDescription="Create a new document." ma:contentTypeScope="" ma:versionID="2f8dd52a4ebb9c349144a3bc151f6d14">
  <xsd:schema xmlns:xsd="http://www.w3.org/2001/XMLSchema" xmlns:xs="http://www.w3.org/2001/XMLSchema" xmlns:p="http://schemas.microsoft.com/office/2006/metadata/properties" xmlns:ns2="e9030caa-ab7d-4043-a723-846408bcfa62" targetNamespace="http://schemas.microsoft.com/office/2006/metadata/properties" ma:root="true" ma:fieldsID="ff1b3e1682df009e112d2ea2d6cd6fd8" ns2:_="">
    <xsd:import namespace="e9030caa-ab7d-4043-a723-846408bcfa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Adjusted_x003f_" minOccurs="0"/>
                <xsd:element ref="ns2:CalProvider" minOccurs="0"/>
                <xsd:element ref="ns2:Cal_x002e_Date" minOccurs="0"/>
                <xsd:element ref="ns2:ETE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30caa-ab7d-4043-a723-846408bcfa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djusted_x003f_" ma:index="13" nillable="true" ma:displayName="Adjusted?" ma:default="0" ma:description="Record of whether this unit been adjusted during this activity" ma:format="Dropdown" ma:internalName="Adjusted_x003f_">
      <xsd:simpleType>
        <xsd:restriction base="dms:Boolean"/>
      </xsd:simpleType>
    </xsd:element>
    <xsd:element name="CalProvider" ma:index="14" nillable="true" ma:displayName="Cal Provider" ma:description="Location of calibration" ma:format="Dropdown" ma:internalName="CalProvider">
      <xsd:simpleType>
        <xsd:restriction base="dms:Text">
          <xsd:maxLength value="255"/>
        </xsd:restriction>
      </xsd:simpleType>
    </xsd:element>
    <xsd:element name="Cal_x002e_Date" ma:index="15" nillable="true" ma:displayName="Cal. Date" ma:default="10/11/2023" ma:description="Date of Calibration" ma:format="DateOnly" ma:internalName="Cal_x002e_Date">
      <xsd:simpleType>
        <xsd:restriction base="dms:DateTime"/>
      </xsd:simpleType>
    </xsd:element>
    <xsd:element name="ETEs" ma:index="16" nillable="true" ma:displayName="ETEs" ma:decimals="0" ma:description="Set of ETEs being used" ma:format="Dropdown" ma:internalName="ETEs" ma:percentage="FALSE">
      <xsd:simpleType>
        <xsd:restriction base="dms:Number">
          <xsd:maxInclusive value="2"/>
          <xsd:minInclusive value="1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justed_x003f_ xmlns="e9030caa-ab7d-4043-a723-846408bcfa62">false</Adjusted_x003f_>
    <Cal_x002e_Date xmlns="e9030caa-ab7d-4043-a723-846408bcfa62" xsi:nil="true"/>
    <CalProvider xmlns="e9030caa-ab7d-4043-a723-846408bcfa62" xsi:nil="true"/>
    <ETEs xmlns="e9030caa-ab7d-4043-a723-846408bcfa6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23D8BB-98AB-476D-8902-556F1DC0B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30caa-ab7d-4043-a723-846408bcfa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91860F-9945-43F5-BBB2-5F1BAA9488C6}">
  <ds:schemaRefs>
    <ds:schemaRef ds:uri="http://schemas.microsoft.com/office/2006/metadata/properties"/>
    <ds:schemaRef ds:uri="http://schemas.microsoft.com/office/infopath/2007/PartnerControls"/>
    <ds:schemaRef ds:uri="e9030caa-ab7d-4043-a723-846408bcfa62"/>
  </ds:schemaRefs>
</ds:datastoreItem>
</file>

<file path=customXml/itemProps3.xml><?xml version="1.0" encoding="utf-8"?>
<ds:datastoreItem xmlns:ds="http://schemas.openxmlformats.org/officeDocument/2006/customXml" ds:itemID="{229C69FC-0795-4E85-BED3-20F790E497C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10K Ohm</vt:lpstr>
      <vt:lpstr>df_PN010008</vt:lpstr>
      <vt:lpstr>'10K Ohm'!df_PN010009</vt:lpstr>
      <vt:lpstr>'10K Ohm'!n_PN010008</vt:lpstr>
      <vt:lpstr>'10K Ohm'!n_PN010009</vt:lpstr>
      <vt:lpstr>SSx_PN010008</vt:lpstr>
      <vt:lpstr>'10K Ohm'!SSx_PN010009</vt:lpstr>
      <vt:lpstr>Syx_PN010008</vt:lpstr>
      <vt:lpstr>'10K Ohm'!Syx_PN010009</vt:lpstr>
      <vt:lpstr>XBar_PN010008</vt:lpstr>
      <vt:lpstr>'10K Ohm'!XBar_PN010009</vt:lpstr>
    </vt:vector>
  </TitlesOfParts>
  <Manager/>
  <Company>Keysight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 ZI YANG</dc:creator>
  <cp:keywords/>
  <dc:description/>
  <cp:lastModifiedBy>Zi-Yang Ang</cp:lastModifiedBy>
  <cp:revision/>
  <dcterms:created xsi:type="dcterms:W3CDTF">2023-11-17T02:45:21Z</dcterms:created>
  <dcterms:modified xsi:type="dcterms:W3CDTF">2026-09-08T00:03:32Z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0x01010044B235E799D978469D5A3DE19AC51D2D</vt:lpwstr>
  </property>
</Properties>
</file>